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Jobs" sheetId="3" state="visible" r:id="rId5"/>
    <sheet name="Costs Log" sheetId="4" state="visible" r:id="rId6"/>
    <sheet name="Payments Log" sheetId="5" state="visible" r:id="rId7"/>
    <sheet name="Job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Approved change orders added to the contract value.</t>
        </r>
      </text>
    </comment>
  </commentList>
</comments>
</file>

<file path=xl/sharedStrings.xml><?xml version="1.0" encoding="utf-8"?>
<sst xmlns="http://schemas.openxmlformats.org/spreadsheetml/2006/main" count="126" uniqueCount="98">
  <si>
    <t xml:space="preserve">Contractor Job Cost &amp; Cash Flow Tracker - FREE Edition (3 jobs)</t>
  </si>
  <si>
    <t xml:space="preserve">Know which jobs make money before the job is over - not at tax time.</t>
  </si>
  <si>
    <t xml:space="preserve">HOW TO USE (10 minutes)</t>
  </si>
  <si>
    <t xml:space="preserve">1. Settings tab: enter your company name, opening cash balance, monthly overhead and start month.</t>
  </si>
  <si>
    <t xml:space="preserve">2. Jobs tab: one row per job - contract value and your estimated cost by category.</t>
  </si>
  <si>
    <t xml:space="preserve">3. Costs Log: every receipt, timesheet or sub invoice - date, job ID, category, amount.</t>
  </si>
  <si>
    <t xml:space="preserve">4. Payments Log: every deposit or progress payment you receive from a client.</t>
  </si>
  <si>
    <t xml:space="preserve">5. Job Dashboard and Cash Flow update automatically. Red = over budget or cash going negative.</t>
  </si>
  <si>
    <t xml:space="preserve">COLOR LEGEND</t>
  </si>
  <si>
    <t xml:space="preserve">Blue text = a value you type in.   Black text = formula, do not overwrite.   Green text = pulled from another tab.</t>
  </si>
  <si>
    <t xml:space="preserve">Yellow fill = key setting you should review first.</t>
  </si>
  <si>
    <t xml:space="preserve">Formula cells are locked so they can't be overwritten by accident. To change a formula: Review &gt; Unprotect Sheet (no password).</t>
  </si>
  <si>
    <t xml:space="preserve">The example rows (jobs J-101 to J-103 and their costs/payments) show the expected format. Overwrite or delete them.</t>
  </si>
  <si>
    <t xml:space="preserve">UPGRADE TO PRO</t>
  </si>
  <si>
    <t xml:space="preserve">PRO adds: 50 jobs, 1,000-row logs, a 12-month cash flow forecast with negative-cash warnings,</t>
  </si>
  <si>
    <t xml:space="preserve">overhead allocation, estimate-vs-actual variance by category, and change-order tracking.</t>
  </si>
  <si>
    <t xml:space="preserve">Get it here: [YOUR GUMROAD / LEMON SQUEEZY LINK]</t>
  </si>
  <si>
    <t xml:space="preserve">Setting</t>
  </si>
  <si>
    <t xml:space="preserve">Value</t>
  </si>
  <si>
    <t xml:space="preserve">Notes</t>
  </si>
  <si>
    <t xml:space="preserve">Company name</t>
  </si>
  <si>
    <t xml:space="preserve">Acme Renovations LLC</t>
  </si>
  <si>
    <t xml:space="preserve">Shown on dashboards.</t>
  </si>
  <si>
    <t xml:space="preserve">Opening cash balance ($)</t>
  </si>
  <si>
    <t xml:space="preserve">Bank balance on the start month's first day.</t>
  </si>
  <si>
    <t xml:space="preserve">Monthly fixed overhead ($)</t>
  </si>
  <si>
    <t xml:space="preserve">Rent, insurance, truck, software, office salary. Example value - replace.</t>
  </si>
  <si>
    <t xml:space="preserve">Target margin after overhead (%)</t>
  </si>
  <si>
    <t xml:space="preserve">Jobs projected below this are flagged. Example value - set your own.</t>
  </si>
  <si>
    <t xml:space="preserve">Forecast start month</t>
  </si>
  <si>
    <t xml:space="preserve">Enter the 1st day of a month.</t>
  </si>
  <si>
    <t xml:space="preserve">Job ID</t>
  </si>
  <si>
    <t xml:space="preserve">Client</t>
  </si>
  <si>
    <t xml:space="preserve">Job description</t>
  </si>
  <si>
    <t xml:space="preserve">Status</t>
  </si>
  <si>
    <t xml:space="preserve">Start date</t>
  </si>
  <si>
    <t xml:space="preserve">Contract value ($)</t>
  </si>
  <si>
    <t xml:space="preserve">Change orders ($)</t>
  </si>
  <si>
    <t xml:space="preserve">Est. labor ($)</t>
  </si>
  <si>
    <t xml:space="preserve">Est. materials ($)</t>
  </si>
  <si>
    <t xml:space="preserve">Est. subs ($)</t>
  </si>
  <si>
    <t xml:space="preserve">Est. equipment ($)</t>
  </si>
  <si>
    <t xml:space="preserve">Est. other ($)</t>
  </si>
  <si>
    <t xml:space="preserve">Est. total cost ($)</t>
  </si>
  <si>
    <t xml:space="preserve">Est. margin (%)</t>
  </si>
  <si>
    <t xml:space="preserve">J-101</t>
  </si>
  <si>
    <t xml:space="preserve">Miller</t>
  </si>
  <si>
    <t xml:space="preserve">Kitchen remodel</t>
  </si>
  <si>
    <t xml:space="preserve">Active</t>
  </si>
  <si>
    <t xml:space="preserve">J-102</t>
  </si>
  <si>
    <t xml:space="preserve">Okafor</t>
  </si>
  <si>
    <t xml:space="preserve">Deck + pergola</t>
  </si>
  <si>
    <t xml:space="preserve">Complete</t>
  </si>
  <si>
    <t xml:space="preserve">J-103</t>
  </si>
  <si>
    <t xml:space="preserve">Chen</t>
  </si>
  <si>
    <t xml:space="preserve">Basement finish</t>
  </si>
  <si>
    <t xml:space="preserve">Date</t>
  </si>
  <si>
    <t xml:space="preserve">Category</t>
  </si>
  <si>
    <t xml:space="preserve">Vendor / worker</t>
  </si>
  <si>
    <t xml:space="preserve">Description</t>
  </si>
  <si>
    <t xml:space="preserve">Amount ($)</t>
  </si>
  <si>
    <t xml:space="preserve">Materials</t>
  </si>
  <si>
    <t xml:space="preserve">Home Depot</t>
  </si>
  <si>
    <t xml:space="preserve">Cabinets deposit</t>
  </si>
  <si>
    <t xml:space="preserve">Labor</t>
  </si>
  <si>
    <t xml:space="preserve">Crew payroll</t>
  </si>
  <si>
    <t xml:space="preserve">Week 2 demo + framing</t>
  </si>
  <si>
    <t xml:space="preserve">84 Lumber</t>
  </si>
  <si>
    <t xml:space="preserve">Composite decking</t>
  </si>
  <si>
    <t xml:space="preserve">Deck build</t>
  </si>
  <si>
    <t xml:space="preserve">Subcontractors</t>
  </si>
  <si>
    <t xml:space="preserve">Spark Electric</t>
  </si>
  <si>
    <t xml:space="preserve">Rough-in electrical</t>
  </si>
  <si>
    <t xml:space="preserve">ABC Supply</t>
  </si>
  <si>
    <t xml:space="preserve">Drywall + insulation</t>
  </si>
  <si>
    <t xml:space="preserve">Install cabinets</t>
  </si>
  <si>
    <t xml:space="preserve">Framing</t>
  </si>
  <si>
    <t xml:space="preserve">Invoice #</t>
  </si>
  <si>
    <t xml:space="preserve">Note</t>
  </si>
  <si>
    <t xml:space="preserve">Amount received ($)</t>
  </si>
  <si>
    <t xml:space="preserve">INV-001</t>
  </si>
  <si>
    <t xml:space="preserve">Deposit 30%</t>
  </si>
  <si>
    <t xml:space="preserve">INV-002</t>
  </si>
  <si>
    <t xml:space="preserve">Deposit 50%</t>
  </si>
  <si>
    <t xml:space="preserve">INV-003</t>
  </si>
  <si>
    <t xml:space="preserve">Final</t>
  </si>
  <si>
    <t xml:space="preserve">INV-004</t>
  </si>
  <si>
    <t xml:space="preserve">Deposit 25%</t>
  </si>
  <si>
    <t xml:space="preserve">INV-005</t>
  </si>
  <si>
    <t xml:space="preserve">Progress 40%</t>
  </si>
  <si>
    <t xml:space="preserve">Contract + COs ($)</t>
  </si>
  <si>
    <t xml:space="preserve">Est. cost ($)</t>
  </si>
  <si>
    <t xml:space="preserve">Actual cost ($)</t>
  </si>
  <si>
    <t xml:space="preserve">% of budget used</t>
  </si>
  <si>
    <t xml:space="preserve">Received ($)</t>
  </si>
  <si>
    <t xml:space="preserve">Profit so far ($)</t>
  </si>
  <si>
    <t xml:space="preserve">Margin if job ended now (%)</t>
  </si>
  <si>
    <t xml:space="preserve">Flag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</si>
</sst>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  <font>
      <b val="true"/>
      <sz val="14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5F9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7" t="s">
        <v>17</v>
      </c>
      <c r="B1" s="7" t="s">
        <v>18</v>
      </c>
      <c r="C1" s="7" t="s">
        <v>19</v>
      </c>
    </row>
    <row r="2" customFormat="false" ht="15" hidden="false" customHeight="false" outlineLevel="0" collapsed="false">
      <c r="A2" s="8" t="s">
        <v>20</v>
      </c>
      <c r="B2" s="9" t="s">
        <v>21</v>
      </c>
      <c r="C2" s="10" t="s">
        <v>22</v>
      </c>
    </row>
    <row r="3" customFormat="false" ht="15" hidden="false" customHeight="false" outlineLevel="0" collapsed="false">
      <c r="A3" s="8" t="s">
        <v>23</v>
      </c>
      <c r="B3" s="11" t="n">
        <v>15000</v>
      </c>
      <c r="C3" s="10" t="s">
        <v>24</v>
      </c>
    </row>
    <row r="4" customFormat="false" ht="15" hidden="false" customHeight="false" outlineLevel="0" collapsed="false">
      <c r="A4" s="8" t="s">
        <v>25</v>
      </c>
      <c r="B4" s="11" t="n">
        <v>1500</v>
      </c>
      <c r="C4" s="10" t="s">
        <v>26</v>
      </c>
    </row>
    <row r="5" customFormat="false" ht="15" hidden="false" customHeight="false" outlineLevel="0" collapsed="false">
      <c r="A5" s="8" t="s">
        <v>27</v>
      </c>
      <c r="B5" s="12" t="n">
        <v>0.1</v>
      </c>
      <c r="C5" s="10" t="s">
        <v>28</v>
      </c>
    </row>
    <row r="6" customFormat="false" ht="15" hidden="false" customHeight="false" outlineLevel="0" collapsed="false">
      <c r="A6" s="8" t="s">
        <v>29</v>
      </c>
      <c r="B6" s="13" t="n">
        <v>46023</v>
      </c>
      <c r="C6" s="10" t="s">
        <v>30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</row>
    <row r="2" customFormat="false" ht="15" hidden="false" customHeight="false" outlineLevel="0" collapsed="false">
      <c r="A2" s="14" t="s">
        <v>45</v>
      </c>
      <c r="B2" s="14" t="s">
        <v>46</v>
      </c>
      <c r="C2" s="14" t="s">
        <v>47</v>
      </c>
      <c r="D2" s="14" t="s">
        <v>48</v>
      </c>
      <c r="E2" s="15" t="n">
        <v>46027</v>
      </c>
      <c r="F2" s="16" t="n">
        <v>48000</v>
      </c>
      <c r="G2" s="16" t="n">
        <v>2500</v>
      </c>
      <c r="H2" s="16" t="n">
        <v>14000</v>
      </c>
      <c r="I2" s="16" t="n">
        <v>12000</v>
      </c>
      <c r="J2" s="16" t="n">
        <v>6000</v>
      </c>
      <c r="K2" s="16" t="n">
        <v>1200</v>
      </c>
      <c r="L2" s="16" t="n">
        <v>800</v>
      </c>
      <c r="M2" s="17" t="n">
        <f aca="false">IF(A2="","",SUM(H2:L2))</f>
        <v>34000</v>
      </c>
      <c r="N2" s="18" t="n">
        <f aca="false">IF(OR(A2="",F2+G2=0),"",(F2+G2-M2)/(F2+G2))</f>
        <v>0.326732673267327</v>
      </c>
    </row>
    <row r="3" customFormat="false" ht="15" hidden="false" customHeight="false" outlineLevel="0" collapsed="false">
      <c r="A3" s="19" t="s">
        <v>49</v>
      </c>
      <c r="B3" s="19" t="s">
        <v>50</v>
      </c>
      <c r="C3" s="19" t="s">
        <v>51</v>
      </c>
      <c r="D3" s="19" t="s">
        <v>52</v>
      </c>
      <c r="E3" s="20" t="n">
        <v>46034</v>
      </c>
      <c r="F3" s="21" t="n">
        <v>22000</v>
      </c>
      <c r="G3" s="21" t="n">
        <v>0</v>
      </c>
      <c r="H3" s="21" t="n">
        <v>6500</v>
      </c>
      <c r="I3" s="21" t="n">
        <v>7000</v>
      </c>
      <c r="J3" s="21" t="n">
        <v>0</v>
      </c>
      <c r="K3" s="21" t="n">
        <v>600</v>
      </c>
      <c r="L3" s="21" t="n">
        <v>400</v>
      </c>
      <c r="M3" s="17" t="n">
        <f aca="false">IF(A3="","",SUM(H3:L3))</f>
        <v>14500</v>
      </c>
      <c r="N3" s="18" t="n">
        <f aca="false">IF(OR(A3="",F3+G3=0),"",(F3+G3-M3)/(F3+G3))</f>
        <v>0.340909090909091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14" t="s">
        <v>55</v>
      </c>
      <c r="D4" s="14" t="s">
        <v>48</v>
      </c>
      <c r="E4" s="15" t="n">
        <v>46055</v>
      </c>
      <c r="F4" s="16" t="n">
        <v>61000</v>
      </c>
      <c r="G4" s="16" t="n">
        <v>0</v>
      </c>
      <c r="H4" s="16" t="n">
        <v>18000</v>
      </c>
      <c r="I4" s="16" t="n">
        <v>14000</v>
      </c>
      <c r="J4" s="16" t="n">
        <v>11000</v>
      </c>
      <c r="K4" s="16" t="n">
        <v>1500</v>
      </c>
      <c r="L4" s="16" t="n">
        <v>1000</v>
      </c>
      <c r="M4" s="17" t="n">
        <f aca="false">IF(A4="","",SUM(H4:L4))</f>
        <v>45500</v>
      </c>
      <c r="N4" s="18" t="n">
        <f aca="false">IF(OR(A4="",F4+G4=0),"",(F4+G4-M4)/(F4+G4))</f>
        <v>0.254098360655738</v>
      </c>
    </row>
  </sheetData>
  <sheetProtection sheet="true" formatCells="false" formatColumns="false" formatRows="false" sort="false" autoFilter="false"/>
  <conditionalFormatting sqref="N2:N4">
    <cfRule type="expression" priority="2" aboveAverage="0" equalAverage="0" bottom="0" percent="0" rank="0" text="" dxfId="0">
      <formula>AND(N2&lt;&gt;"",N2&lt;Settings!$B$5)</formula>
    </cfRule>
  </conditionalFormatting>
  <dataValidations count="1">
    <dataValidation allowBlank="true" errorStyle="stop" operator="between" showDropDown="false" showErrorMessage="false" showInputMessage="false" sqref="D2:D4" type="list">
      <formula1>"Bidding,Active,Complete,On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7" t="s">
        <v>56</v>
      </c>
      <c r="B1" s="7" t="s">
        <v>31</v>
      </c>
      <c r="C1" s="7" t="s">
        <v>57</v>
      </c>
      <c r="D1" s="7" t="s">
        <v>58</v>
      </c>
      <c r="E1" s="7" t="s">
        <v>59</v>
      </c>
      <c r="F1" s="7" t="s">
        <v>60</v>
      </c>
    </row>
    <row r="2" customFormat="false" ht="15" hidden="false" customHeight="false" outlineLevel="0" collapsed="false">
      <c r="A2" s="15" t="n">
        <v>46030</v>
      </c>
      <c r="B2" s="14" t="s">
        <v>45</v>
      </c>
      <c r="C2" s="14" t="s">
        <v>61</v>
      </c>
      <c r="D2" s="14" t="s">
        <v>62</v>
      </c>
      <c r="E2" s="14" t="s">
        <v>63</v>
      </c>
      <c r="F2" s="16" t="n">
        <v>6200</v>
      </c>
    </row>
    <row r="3" customFormat="false" ht="15" hidden="false" customHeight="false" outlineLevel="0" collapsed="false">
      <c r="A3" s="20" t="n">
        <v>46037</v>
      </c>
      <c r="B3" s="19" t="s">
        <v>45</v>
      </c>
      <c r="C3" s="19" t="s">
        <v>64</v>
      </c>
      <c r="D3" s="19" t="s">
        <v>65</v>
      </c>
      <c r="E3" s="19" t="s">
        <v>66</v>
      </c>
      <c r="F3" s="21" t="n">
        <v>4100</v>
      </c>
    </row>
    <row r="4" customFormat="false" ht="15" hidden="false" customHeight="false" outlineLevel="0" collapsed="false">
      <c r="A4" s="15" t="n">
        <v>46036</v>
      </c>
      <c r="B4" s="14" t="s">
        <v>49</v>
      </c>
      <c r="C4" s="14" t="s">
        <v>61</v>
      </c>
      <c r="D4" s="14" t="s">
        <v>67</v>
      </c>
      <c r="E4" s="14" t="s">
        <v>68</v>
      </c>
      <c r="F4" s="16" t="n">
        <v>7400</v>
      </c>
    </row>
    <row r="5" customFormat="false" ht="15" hidden="false" customHeight="false" outlineLevel="0" collapsed="false">
      <c r="A5" s="20" t="n">
        <v>46043</v>
      </c>
      <c r="B5" s="19" t="s">
        <v>49</v>
      </c>
      <c r="C5" s="19" t="s">
        <v>64</v>
      </c>
      <c r="D5" s="19" t="s">
        <v>65</v>
      </c>
      <c r="E5" s="19" t="s">
        <v>69</v>
      </c>
      <c r="F5" s="21" t="n">
        <v>6900</v>
      </c>
    </row>
    <row r="6" customFormat="false" ht="15" hidden="false" customHeight="false" outlineLevel="0" collapsed="false">
      <c r="A6" s="15" t="n">
        <v>46056</v>
      </c>
      <c r="B6" s="14" t="s">
        <v>45</v>
      </c>
      <c r="C6" s="14" t="s">
        <v>70</v>
      </c>
      <c r="D6" s="14" t="s">
        <v>71</v>
      </c>
      <c r="E6" s="14" t="s">
        <v>72</v>
      </c>
      <c r="F6" s="16" t="n">
        <v>3800</v>
      </c>
    </row>
    <row r="7" customFormat="false" ht="15" hidden="false" customHeight="false" outlineLevel="0" collapsed="false">
      <c r="A7" s="20" t="n">
        <v>46063</v>
      </c>
      <c r="B7" s="19" t="s">
        <v>53</v>
      </c>
      <c r="C7" s="19" t="s">
        <v>61</v>
      </c>
      <c r="D7" s="19" t="s">
        <v>73</v>
      </c>
      <c r="E7" s="19" t="s">
        <v>74</v>
      </c>
      <c r="F7" s="21" t="n">
        <v>5200</v>
      </c>
    </row>
    <row r="8" customFormat="false" ht="15" hidden="false" customHeight="false" outlineLevel="0" collapsed="false">
      <c r="A8" s="15" t="n">
        <v>46071</v>
      </c>
      <c r="B8" s="14" t="s">
        <v>45</v>
      </c>
      <c r="C8" s="14" t="s">
        <v>64</v>
      </c>
      <c r="D8" s="14" t="s">
        <v>65</v>
      </c>
      <c r="E8" s="14" t="s">
        <v>75</v>
      </c>
      <c r="F8" s="16" t="n">
        <v>5600</v>
      </c>
    </row>
    <row r="9" customFormat="false" ht="15" hidden="false" customHeight="false" outlineLevel="0" collapsed="false">
      <c r="A9" s="20" t="n">
        <v>46085</v>
      </c>
      <c r="B9" s="19" t="s">
        <v>53</v>
      </c>
      <c r="C9" s="19" t="s">
        <v>64</v>
      </c>
      <c r="D9" s="19" t="s">
        <v>65</v>
      </c>
      <c r="E9" s="19" t="s">
        <v>76</v>
      </c>
      <c r="F9" s="21" t="n">
        <v>6100</v>
      </c>
    </row>
    <row r="10" customFormat="false" ht="15" hidden="false" customHeight="false" outlineLevel="0" collapsed="false">
      <c r="A10" s="15"/>
      <c r="B10" s="14"/>
      <c r="C10" s="14"/>
      <c r="D10" s="14"/>
      <c r="E10" s="14"/>
      <c r="F10" s="16"/>
    </row>
    <row r="11" customFormat="false" ht="15" hidden="false" customHeight="false" outlineLevel="0" collapsed="false">
      <c r="A11" s="20"/>
      <c r="B11" s="19"/>
      <c r="C11" s="19"/>
      <c r="D11" s="19"/>
      <c r="E11" s="19"/>
      <c r="F11" s="21"/>
    </row>
    <row r="12" customFormat="false" ht="15" hidden="false" customHeight="false" outlineLevel="0" collapsed="false">
      <c r="A12" s="15"/>
      <c r="B12" s="14"/>
      <c r="C12" s="14"/>
      <c r="D12" s="14"/>
      <c r="E12" s="14"/>
      <c r="F12" s="16"/>
    </row>
    <row r="13" customFormat="false" ht="15" hidden="false" customHeight="false" outlineLevel="0" collapsed="false">
      <c r="A13" s="20"/>
      <c r="B13" s="19"/>
      <c r="C13" s="19"/>
      <c r="D13" s="19"/>
      <c r="E13" s="19"/>
      <c r="F13" s="21"/>
    </row>
    <row r="14" customFormat="false" ht="15" hidden="false" customHeight="false" outlineLevel="0" collapsed="false">
      <c r="A14" s="15"/>
      <c r="B14" s="14"/>
      <c r="C14" s="14"/>
      <c r="D14" s="14"/>
      <c r="E14" s="14"/>
      <c r="F14" s="16"/>
    </row>
    <row r="15" customFormat="false" ht="15" hidden="false" customHeight="false" outlineLevel="0" collapsed="false">
      <c r="A15" s="20"/>
      <c r="B15" s="19"/>
      <c r="C15" s="19"/>
      <c r="D15" s="19"/>
      <c r="E15" s="19"/>
      <c r="F15" s="21"/>
    </row>
    <row r="16" customFormat="false" ht="15" hidden="false" customHeight="false" outlineLevel="0" collapsed="false">
      <c r="A16" s="15"/>
      <c r="B16" s="14"/>
      <c r="C16" s="14"/>
      <c r="D16" s="14"/>
      <c r="E16" s="14"/>
      <c r="F16" s="16"/>
    </row>
    <row r="17" customFormat="false" ht="15" hidden="false" customHeight="false" outlineLevel="0" collapsed="false">
      <c r="A17" s="20"/>
      <c r="B17" s="19"/>
      <c r="C17" s="19"/>
      <c r="D17" s="19"/>
      <c r="E17" s="19"/>
      <c r="F17" s="21"/>
    </row>
    <row r="18" customFormat="false" ht="15" hidden="false" customHeight="false" outlineLevel="0" collapsed="false">
      <c r="A18" s="15"/>
      <c r="B18" s="14"/>
      <c r="C18" s="14"/>
      <c r="D18" s="14"/>
      <c r="E18" s="14"/>
      <c r="F18" s="16"/>
    </row>
    <row r="19" customFormat="false" ht="15" hidden="false" customHeight="false" outlineLevel="0" collapsed="false">
      <c r="A19" s="20"/>
      <c r="B19" s="19"/>
      <c r="C19" s="19"/>
      <c r="D19" s="19"/>
      <c r="E19" s="19"/>
      <c r="F19" s="21"/>
    </row>
    <row r="20" customFormat="false" ht="15" hidden="false" customHeight="false" outlineLevel="0" collapsed="false">
      <c r="A20" s="15"/>
      <c r="B20" s="14"/>
      <c r="C20" s="14"/>
      <c r="D20" s="14"/>
      <c r="E20" s="14"/>
      <c r="F20" s="16"/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21"/>
    </row>
    <row r="22" customFormat="false" ht="15" hidden="false" customHeight="false" outlineLevel="0" collapsed="false">
      <c r="A22" s="15"/>
      <c r="B22" s="14"/>
      <c r="C22" s="14"/>
      <c r="D22" s="14"/>
      <c r="E22" s="14"/>
      <c r="F22" s="16"/>
    </row>
    <row r="23" customFormat="false" ht="15" hidden="false" customHeight="false" outlineLevel="0" collapsed="false">
      <c r="A23" s="20"/>
      <c r="B23" s="19"/>
      <c r="C23" s="19"/>
      <c r="D23" s="19"/>
      <c r="E23" s="19"/>
      <c r="F23" s="21"/>
    </row>
    <row r="24" customFormat="false" ht="15" hidden="false" customHeight="false" outlineLevel="0" collapsed="false">
      <c r="A24" s="15"/>
      <c r="B24" s="14"/>
      <c r="C24" s="14"/>
      <c r="D24" s="14"/>
      <c r="E24" s="14"/>
      <c r="F24" s="16"/>
    </row>
    <row r="25" customFormat="false" ht="15" hidden="false" customHeight="false" outlineLevel="0" collapsed="false">
      <c r="A25" s="20"/>
      <c r="B25" s="19"/>
      <c r="C25" s="19"/>
      <c r="D25" s="19"/>
      <c r="E25" s="19"/>
      <c r="F25" s="21"/>
    </row>
    <row r="26" customFormat="false" ht="15" hidden="false" customHeight="false" outlineLevel="0" collapsed="false">
      <c r="A26" s="15"/>
      <c r="B26" s="14"/>
      <c r="C26" s="14"/>
      <c r="D26" s="14"/>
      <c r="E26" s="14"/>
      <c r="F26" s="16"/>
    </row>
    <row r="27" customFormat="false" ht="15" hidden="false" customHeight="false" outlineLevel="0" collapsed="false">
      <c r="A27" s="20"/>
      <c r="B27" s="19"/>
      <c r="C27" s="19"/>
      <c r="D27" s="19"/>
      <c r="E27" s="19"/>
      <c r="F27" s="21"/>
    </row>
    <row r="28" customFormat="false" ht="15" hidden="false" customHeight="false" outlineLevel="0" collapsed="false">
      <c r="A28" s="15"/>
      <c r="B28" s="14"/>
      <c r="C28" s="14"/>
      <c r="D28" s="14"/>
      <c r="E28" s="14"/>
      <c r="F28" s="16"/>
    </row>
    <row r="29" customFormat="false" ht="15" hidden="false" customHeight="false" outlineLevel="0" collapsed="false">
      <c r="A29" s="20"/>
      <c r="B29" s="19"/>
      <c r="C29" s="19"/>
      <c r="D29" s="19"/>
      <c r="E29" s="19"/>
      <c r="F29" s="21"/>
    </row>
    <row r="30" customFormat="false" ht="15" hidden="false" customHeight="false" outlineLevel="0" collapsed="false">
      <c r="A30" s="15"/>
      <c r="B30" s="14"/>
      <c r="C30" s="14"/>
      <c r="D30" s="14"/>
      <c r="E30" s="14"/>
      <c r="F30" s="16"/>
    </row>
    <row r="31" customFormat="false" ht="15" hidden="false" customHeight="false" outlineLevel="0" collapsed="false">
      <c r="A31" s="20"/>
      <c r="B31" s="19"/>
      <c r="C31" s="19"/>
      <c r="D31" s="19"/>
      <c r="E31" s="19"/>
      <c r="F31" s="21"/>
    </row>
    <row r="32" customFormat="false" ht="15" hidden="false" customHeight="false" outlineLevel="0" collapsed="false">
      <c r="A32" s="15"/>
      <c r="B32" s="14"/>
      <c r="C32" s="14"/>
      <c r="D32" s="14"/>
      <c r="E32" s="14"/>
      <c r="F32" s="16"/>
    </row>
    <row r="33" customFormat="false" ht="15" hidden="false" customHeight="false" outlineLevel="0" collapsed="false">
      <c r="A33" s="20"/>
      <c r="B33" s="19"/>
      <c r="C33" s="19"/>
      <c r="D33" s="19"/>
      <c r="E33" s="19"/>
      <c r="F33" s="21"/>
    </row>
    <row r="34" customFormat="false" ht="15" hidden="false" customHeight="false" outlineLevel="0" collapsed="false">
      <c r="A34" s="15"/>
      <c r="B34" s="14"/>
      <c r="C34" s="14"/>
      <c r="D34" s="14"/>
      <c r="E34" s="14"/>
      <c r="F34" s="16"/>
    </row>
    <row r="35" customFormat="false" ht="15" hidden="false" customHeight="false" outlineLevel="0" collapsed="false">
      <c r="A35" s="20"/>
      <c r="B35" s="19"/>
      <c r="C35" s="19"/>
      <c r="D35" s="19"/>
      <c r="E35" s="19"/>
      <c r="F35" s="21"/>
    </row>
    <row r="36" customFormat="false" ht="15" hidden="false" customHeight="false" outlineLevel="0" collapsed="false">
      <c r="A36" s="15"/>
      <c r="B36" s="14"/>
      <c r="C36" s="14"/>
      <c r="D36" s="14"/>
      <c r="E36" s="14"/>
      <c r="F36" s="16"/>
    </row>
    <row r="37" customFormat="false" ht="15" hidden="false" customHeight="false" outlineLevel="0" collapsed="false">
      <c r="A37" s="20"/>
      <c r="B37" s="19"/>
      <c r="C37" s="19"/>
      <c r="D37" s="19"/>
      <c r="E37" s="19"/>
      <c r="F37" s="21"/>
    </row>
    <row r="38" customFormat="false" ht="15" hidden="false" customHeight="false" outlineLevel="0" collapsed="false">
      <c r="A38" s="15"/>
      <c r="B38" s="14"/>
      <c r="C38" s="14"/>
      <c r="D38" s="14"/>
      <c r="E38" s="14"/>
      <c r="F38" s="16"/>
    </row>
    <row r="39" customFormat="false" ht="15" hidden="false" customHeight="false" outlineLevel="0" collapsed="false">
      <c r="A39" s="20"/>
      <c r="B39" s="19"/>
      <c r="C39" s="19"/>
      <c r="D39" s="19"/>
      <c r="E39" s="19"/>
      <c r="F39" s="21"/>
    </row>
    <row r="40" customFormat="false" ht="15" hidden="false" customHeight="false" outlineLevel="0" collapsed="false">
      <c r="A40" s="15"/>
      <c r="B40" s="14"/>
      <c r="C40" s="14"/>
      <c r="D40" s="14"/>
      <c r="E40" s="14"/>
      <c r="F40" s="16"/>
    </row>
    <row r="41" customFormat="false" ht="15" hidden="false" customHeight="false" outlineLevel="0" collapsed="false">
      <c r="A41" s="20"/>
      <c r="B41" s="19"/>
      <c r="C41" s="19"/>
      <c r="D41" s="19"/>
      <c r="E41" s="19"/>
      <c r="F41" s="21"/>
    </row>
    <row r="42" customFormat="false" ht="15" hidden="false" customHeight="false" outlineLevel="0" collapsed="false">
      <c r="A42" s="15"/>
      <c r="B42" s="14"/>
      <c r="C42" s="14"/>
      <c r="D42" s="14"/>
      <c r="E42" s="14"/>
      <c r="F42" s="16"/>
    </row>
    <row r="43" customFormat="false" ht="15" hidden="false" customHeight="false" outlineLevel="0" collapsed="false">
      <c r="A43" s="20"/>
      <c r="B43" s="19"/>
      <c r="C43" s="19"/>
      <c r="D43" s="19"/>
      <c r="E43" s="19"/>
      <c r="F43" s="21"/>
    </row>
    <row r="44" customFormat="false" ht="15" hidden="false" customHeight="false" outlineLevel="0" collapsed="false">
      <c r="A44" s="15"/>
      <c r="B44" s="14"/>
      <c r="C44" s="14"/>
      <c r="D44" s="14"/>
      <c r="E44" s="14"/>
      <c r="F44" s="16"/>
    </row>
    <row r="45" customFormat="false" ht="15" hidden="false" customHeight="false" outlineLevel="0" collapsed="false">
      <c r="A45" s="20"/>
      <c r="B45" s="19"/>
      <c r="C45" s="19"/>
      <c r="D45" s="19"/>
      <c r="E45" s="19"/>
      <c r="F45" s="21"/>
    </row>
    <row r="46" customFormat="false" ht="15" hidden="false" customHeight="false" outlineLevel="0" collapsed="false">
      <c r="A46" s="15"/>
      <c r="B46" s="14"/>
      <c r="C46" s="14"/>
      <c r="D46" s="14"/>
      <c r="E46" s="14"/>
      <c r="F46" s="16"/>
    </row>
    <row r="47" customFormat="false" ht="15" hidden="false" customHeight="false" outlineLevel="0" collapsed="false">
      <c r="A47" s="20"/>
      <c r="B47" s="19"/>
      <c r="C47" s="19"/>
      <c r="D47" s="19"/>
      <c r="E47" s="19"/>
      <c r="F47" s="21"/>
    </row>
    <row r="48" customFormat="false" ht="15" hidden="false" customHeight="false" outlineLevel="0" collapsed="false">
      <c r="A48" s="15"/>
      <c r="B48" s="14"/>
      <c r="C48" s="14"/>
      <c r="D48" s="14"/>
      <c r="E48" s="14"/>
      <c r="F48" s="16"/>
    </row>
    <row r="49" customFormat="false" ht="15" hidden="false" customHeight="false" outlineLevel="0" collapsed="false">
      <c r="A49" s="20"/>
      <c r="B49" s="19"/>
      <c r="C49" s="19"/>
      <c r="D49" s="19"/>
      <c r="E49" s="19"/>
      <c r="F49" s="21"/>
    </row>
    <row r="50" customFormat="false" ht="15" hidden="false" customHeight="false" outlineLevel="0" collapsed="false">
      <c r="A50" s="15"/>
      <c r="B50" s="14"/>
      <c r="C50" s="14"/>
      <c r="D50" s="14"/>
      <c r="E50" s="14"/>
      <c r="F50" s="16"/>
    </row>
    <row r="51" customFormat="false" ht="15" hidden="false" customHeight="false" outlineLevel="0" collapsed="false">
      <c r="A51" s="20"/>
      <c r="B51" s="19"/>
      <c r="C51" s="19"/>
      <c r="D51" s="19"/>
      <c r="E51" s="19"/>
      <c r="F51" s="21"/>
    </row>
    <row r="52" customFormat="false" ht="15" hidden="false" customHeight="false" outlineLevel="0" collapsed="false">
      <c r="A52" s="15"/>
      <c r="B52" s="14"/>
      <c r="C52" s="14"/>
      <c r="D52" s="14"/>
      <c r="E52" s="14"/>
      <c r="F52" s="16"/>
    </row>
    <row r="53" customFormat="false" ht="15" hidden="false" customHeight="false" outlineLevel="0" collapsed="false">
      <c r="A53" s="20"/>
      <c r="B53" s="19"/>
      <c r="C53" s="19"/>
      <c r="D53" s="19"/>
      <c r="E53" s="19"/>
      <c r="F53" s="21"/>
    </row>
    <row r="54" customFormat="false" ht="15" hidden="false" customHeight="false" outlineLevel="0" collapsed="false">
      <c r="A54" s="15"/>
      <c r="B54" s="14"/>
      <c r="C54" s="14"/>
      <c r="D54" s="14"/>
      <c r="E54" s="14"/>
      <c r="F54" s="16"/>
    </row>
    <row r="55" customFormat="false" ht="15" hidden="false" customHeight="false" outlineLevel="0" collapsed="false">
      <c r="A55" s="20"/>
      <c r="B55" s="19"/>
      <c r="C55" s="19"/>
      <c r="D55" s="19"/>
      <c r="E55" s="19"/>
      <c r="F55" s="21"/>
    </row>
    <row r="56" customFormat="false" ht="15" hidden="false" customHeight="false" outlineLevel="0" collapsed="false">
      <c r="A56" s="15"/>
      <c r="B56" s="14"/>
      <c r="C56" s="14"/>
      <c r="D56" s="14"/>
      <c r="E56" s="14"/>
      <c r="F56" s="16"/>
    </row>
    <row r="57" customFormat="false" ht="15" hidden="false" customHeight="false" outlineLevel="0" collapsed="false">
      <c r="A57" s="20"/>
      <c r="B57" s="19"/>
      <c r="C57" s="19"/>
      <c r="D57" s="19"/>
      <c r="E57" s="19"/>
      <c r="F57" s="21"/>
    </row>
    <row r="58" customFormat="false" ht="15" hidden="false" customHeight="false" outlineLevel="0" collapsed="false">
      <c r="A58" s="15"/>
      <c r="B58" s="14"/>
      <c r="C58" s="14"/>
      <c r="D58" s="14"/>
      <c r="E58" s="14"/>
      <c r="F58" s="16"/>
    </row>
    <row r="59" customFormat="false" ht="15" hidden="false" customHeight="false" outlineLevel="0" collapsed="false">
      <c r="A59" s="20"/>
      <c r="B59" s="19"/>
      <c r="C59" s="19"/>
      <c r="D59" s="19"/>
      <c r="E59" s="19"/>
      <c r="F59" s="21"/>
    </row>
    <row r="60" customFormat="false" ht="15" hidden="false" customHeight="false" outlineLevel="0" collapsed="false">
      <c r="A60" s="15"/>
      <c r="B60" s="14"/>
      <c r="C60" s="14"/>
      <c r="D60" s="14"/>
      <c r="E60" s="14"/>
      <c r="F60" s="16"/>
    </row>
    <row r="61" customFormat="false" ht="15" hidden="false" customHeight="false" outlineLevel="0" collapsed="false">
      <c r="A61" s="20"/>
      <c r="B61" s="19"/>
      <c r="C61" s="19"/>
      <c r="D61" s="19"/>
      <c r="E61" s="19"/>
      <c r="F61" s="21"/>
    </row>
  </sheetData>
  <sheetProtection sheet="true" formatCells="false" formatColumns="false" formatRows="false" sort="false" autoFilter="false"/>
  <dataValidations count="2">
    <dataValidation allowBlank="true" errorStyle="stop" operator="between" showDropDown="false" showErrorMessage="false" showInputMessage="false" sqref="C2:C61" type="list">
      <formula1>"Labor,Materials,Subcontractors,Equipment,Other"</formula1>
      <formula2>0</formula2>
    </dataValidation>
    <dataValidation allowBlank="true" errorStyle="stop" operator="between" showDropDown="false" showErrorMessage="false" showInputMessage="false" sqref="B2:B61" type="list">
      <formula1>Jobs!$A$2:$A$4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7" t="s">
        <v>56</v>
      </c>
      <c r="B1" s="7" t="s">
        <v>31</v>
      </c>
      <c r="C1" s="7" t="s">
        <v>77</v>
      </c>
      <c r="D1" s="7" t="s">
        <v>78</v>
      </c>
      <c r="E1" s="7" t="s">
        <v>79</v>
      </c>
    </row>
    <row r="2" customFormat="false" ht="15" hidden="false" customHeight="false" outlineLevel="0" collapsed="false">
      <c r="A2" s="15" t="n">
        <v>46027</v>
      </c>
      <c r="B2" s="14" t="s">
        <v>45</v>
      </c>
      <c r="C2" s="14" t="s">
        <v>80</v>
      </c>
      <c r="D2" s="14" t="s">
        <v>81</v>
      </c>
      <c r="E2" s="16" t="n">
        <v>14400</v>
      </c>
    </row>
    <row r="3" customFormat="false" ht="15" hidden="false" customHeight="false" outlineLevel="0" collapsed="false">
      <c r="A3" s="20" t="n">
        <v>46034</v>
      </c>
      <c r="B3" s="19" t="s">
        <v>49</v>
      </c>
      <c r="C3" s="19" t="s">
        <v>82</v>
      </c>
      <c r="D3" s="19" t="s">
        <v>83</v>
      </c>
      <c r="E3" s="21" t="n">
        <v>11000</v>
      </c>
    </row>
    <row r="4" customFormat="false" ht="15" hidden="false" customHeight="false" outlineLevel="0" collapsed="false">
      <c r="A4" s="15" t="n">
        <v>46052</v>
      </c>
      <c r="B4" s="14" t="s">
        <v>49</v>
      </c>
      <c r="C4" s="14" t="s">
        <v>84</v>
      </c>
      <c r="D4" s="14" t="s">
        <v>85</v>
      </c>
      <c r="E4" s="16" t="n">
        <v>11000</v>
      </c>
    </row>
    <row r="5" customFormat="false" ht="15" hidden="false" customHeight="false" outlineLevel="0" collapsed="false">
      <c r="A5" s="20" t="n">
        <v>46055</v>
      </c>
      <c r="B5" s="19" t="s">
        <v>53</v>
      </c>
      <c r="C5" s="19" t="s">
        <v>86</v>
      </c>
      <c r="D5" s="19" t="s">
        <v>87</v>
      </c>
      <c r="E5" s="21" t="n">
        <v>15250</v>
      </c>
    </row>
    <row r="6" customFormat="false" ht="15" hidden="false" customHeight="false" outlineLevel="0" collapsed="false">
      <c r="A6" s="15" t="n">
        <v>46073</v>
      </c>
      <c r="B6" s="14" t="s">
        <v>45</v>
      </c>
      <c r="C6" s="14" t="s">
        <v>88</v>
      </c>
      <c r="D6" s="14" t="s">
        <v>89</v>
      </c>
      <c r="E6" s="16" t="n">
        <v>19200</v>
      </c>
    </row>
    <row r="7" customFormat="false" ht="15" hidden="false" customHeight="false" outlineLevel="0" collapsed="false">
      <c r="A7" s="20"/>
      <c r="B7" s="19"/>
      <c r="C7" s="19"/>
      <c r="D7" s="19"/>
      <c r="E7" s="21"/>
    </row>
    <row r="8" customFormat="false" ht="15" hidden="false" customHeight="false" outlineLevel="0" collapsed="false">
      <c r="A8" s="15"/>
      <c r="B8" s="14"/>
      <c r="C8" s="14"/>
      <c r="D8" s="14"/>
      <c r="E8" s="16"/>
    </row>
    <row r="9" customFormat="false" ht="15" hidden="false" customHeight="false" outlineLevel="0" collapsed="false">
      <c r="A9" s="20"/>
      <c r="B9" s="19"/>
      <c r="C9" s="19"/>
      <c r="D9" s="19"/>
      <c r="E9" s="21"/>
    </row>
    <row r="10" customFormat="false" ht="15" hidden="false" customHeight="false" outlineLevel="0" collapsed="false">
      <c r="A10" s="15"/>
      <c r="B10" s="14"/>
      <c r="C10" s="14"/>
      <c r="D10" s="14"/>
      <c r="E10" s="16"/>
    </row>
    <row r="11" customFormat="false" ht="15" hidden="false" customHeight="false" outlineLevel="0" collapsed="false">
      <c r="A11" s="20"/>
      <c r="B11" s="19"/>
      <c r="C11" s="19"/>
      <c r="D11" s="19"/>
      <c r="E11" s="21"/>
    </row>
    <row r="12" customFormat="false" ht="15" hidden="false" customHeight="false" outlineLevel="0" collapsed="false">
      <c r="A12" s="15"/>
      <c r="B12" s="14"/>
      <c r="C12" s="14"/>
      <c r="D12" s="14"/>
      <c r="E12" s="16"/>
    </row>
    <row r="13" customFormat="false" ht="15" hidden="false" customHeight="false" outlineLevel="0" collapsed="false">
      <c r="A13" s="20"/>
      <c r="B13" s="19"/>
      <c r="C13" s="19"/>
      <c r="D13" s="19"/>
      <c r="E13" s="21"/>
    </row>
    <row r="14" customFormat="false" ht="15" hidden="false" customHeight="false" outlineLevel="0" collapsed="false">
      <c r="A14" s="15"/>
      <c r="B14" s="14"/>
      <c r="C14" s="14"/>
      <c r="D14" s="14"/>
      <c r="E14" s="16"/>
    </row>
    <row r="15" customFormat="false" ht="15" hidden="false" customHeight="false" outlineLevel="0" collapsed="false">
      <c r="A15" s="20"/>
      <c r="B15" s="19"/>
      <c r="C15" s="19"/>
      <c r="D15" s="19"/>
      <c r="E15" s="21"/>
    </row>
    <row r="16" customFormat="false" ht="15" hidden="false" customHeight="false" outlineLevel="0" collapsed="false">
      <c r="A16" s="15"/>
      <c r="B16" s="14"/>
      <c r="C16" s="14"/>
      <c r="D16" s="14"/>
      <c r="E16" s="16"/>
    </row>
    <row r="17" customFormat="false" ht="15" hidden="false" customHeight="false" outlineLevel="0" collapsed="false">
      <c r="A17" s="20"/>
      <c r="B17" s="19"/>
      <c r="C17" s="19"/>
      <c r="D17" s="19"/>
      <c r="E17" s="21"/>
    </row>
    <row r="18" customFormat="false" ht="15" hidden="false" customHeight="false" outlineLevel="0" collapsed="false">
      <c r="A18" s="15"/>
      <c r="B18" s="14"/>
      <c r="C18" s="14"/>
      <c r="D18" s="14"/>
      <c r="E18" s="16"/>
    </row>
    <row r="19" customFormat="false" ht="15" hidden="false" customHeight="false" outlineLevel="0" collapsed="false">
      <c r="A19" s="20"/>
      <c r="B19" s="19"/>
      <c r="C19" s="19"/>
      <c r="D19" s="19"/>
      <c r="E19" s="21"/>
    </row>
    <row r="20" customFormat="false" ht="15" hidden="false" customHeight="false" outlineLevel="0" collapsed="false">
      <c r="A20" s="15"/>
      <c r="B20" s="14"/>
      <c r="C20" s="14"/>
      <c r="D20" s="14"/>
      <c r="E20" s="16"/>
    </row>
    <row r="21" customFormat="false" ht="15" hidden="false" customHeight="false" outlineLevel="0" collapsed="false">
      <c r="A21" s="20"/>
      <c r="B21" s="19"/>
      <c r="C21" s="19"/>
      <c r="D21" s="19"/>
      <c r="E21" s="21"/>
    </row>
    <row r="22" customFormat="false" ht="15" hidden="false" customHeight="false" outlineLevel="0" collapsed="false">
      <c r="A22" s="15"/>
      <c r="B22" s="14"/>
      <c r="C22" s="14"/>
      <c r="D22" s="14"/>
      <c r="E22" s="16"/>
    </row>
    <row r="23" customFormat="false" ht="15" hidden="false" customHeight="false" outlineLevel="0" collapsed="false">
      <c r="A23" s="20"/>
      <c r="B23" s="19"/>
      <c r="C23" s="19"/>
      <c r="D23" s="19"/>
      <c r="E23" s="21"/>
    </row>
    <row r="24" customFormat="false" ht="15" hidden="false" customHeight="false" outlineLevel="0" collapsed="false">
      <c r="A24" s="15"/>
      <c r="B24" s="14"/>
      <c r="C24" s="14"/>
      <c r="D24" s="14"/>
      <c r="E24" s="16"/>
    </row>
    <row r="25" customFormat="false" ht="15" hidden="false" customHeight="false" outlineLevel="0" collapsed="false">
      <c r="A25" s="20"/>
      <c r="B25" s="19"/>
      <c r="C25" s="19"/>
      <c r="D25" s="19"/>
      <c r="E25" s="21"/>
    </row>
    <row r="26" customFormat="false" ht="15" hidden="false" customHeight="false" outlineLevel="0" collapsed="false">
      <c r="A26" s="15"/>
      <c r="B26" s="14"/>
      <c r="C26" s="14"/>
      <c r="D26" s="14"/>
      <c r="E26" s="16"/>
    </row>
    <row r="27" customFormat="false" ht="15" hidden="false" customHeight="false" outlineLevel="0" collapsed="false">
      <c r="A27" s="20"/>
      <c r="B27" s="19"/>
      <c r="C27" s="19"/>
      <c r="D27" s="19"/>
      <c r="E27" s="21"/>
    </row>
    <row r="28" customFormat="false" ht="15" hidden="false" customHeight="false" outlineLevel="0" collapsed="false">
      <c r="A28" s="15"/>
      <c r="B28" s="14"/>
      <c r="C28" s="14"/>
      <c r="D28" s="14"/>
      <c r="E28" s="16"/>
    </row>
    <row r="29" customFormat="false" ht="15" hidden="false" customHeight="false" outlineLevel="0" collapsed="false">
      <c r="A29" s="20"/>
      <c r="B29" s="19"/>
      <c r="C29" s="19"/>
      <c r="D29" s="19"/>
      <c r="E29" s="21"/>
    </row>
    <row r="30" customFormat="false" ht="15" hidden="false" customHeight="false" outlineLevel="0" collapsed="false">
      <c r="A30" s="15"/>
      <c r="B30" s="14"/>
      <c r="C30" s="14"/>
      <c r="D30" s="14"/>
      <c r="E30" s="16"/>
    </row>
    <row r="31" customFormat="false" ht="15" hidden="false" customHeight="false" outlineLevel="0" collapsed="false">
      <c r="A31" s="20"/>
      <c r="B31" s="19"/>
      <c r="C31" s="19"/>
      <c r="D31" s="19"/>
      <c r="E31" s="21"/>
    </row>
    <row r="32" customFormat="false" ht="15" hidden="false" customHeight="false" outlineLevel="0" collapsed="false">
      <c r="A32" s="15"/>
      <c r="B32" s="14"/>
      <c r="C32" s="14"/>
      <c r="D32" s="14"/>
      <c r="E32" s="16"/>
    </row>
    <row r="33" customFormat="false" ht="15" hidden="false" customHeight="false" outlineLevel="0" collapsed="false">
      <c r="A33" s="20"/>
      <c r="B33" s="19"/>
      <c r="C33" s="19"/>
      <c r="D33" s="19"/>
      <c r="E33" s="21"/>
    </row>
    <row r="34" customFormat="false" ht="15" hidden="false" customHeight="false" outlineLevel="0" collapsed="false">
      <c r="A34" s="15"/>
      <c r="B34" s="14"/>
      <c r="C34" s="14"/>
      <c r="D34" s="14"/>
      <c r="E34" s="16"/>
    </row>
    <row r="35" customFormat="false" ht="15" hidden="false" customHeight="false" outlineLevel="0" collapsed="false">
      <c r="A35" s="20"/>
      <c r="B35" s="19"/>
      <c r="C35" s="19"/>
      <c r="D35" s="19"/>
      <c r="E35" s="21"/>
    </row>
    <row r="36" customFormat="false" ht="15" hidden="false" customHeight="false" outlineLevel="0" collapsed="false">
      <c r="A36" s="15"/>
      <c r="B36" s="14"/>
      <c r="C36" s="14"/>
      <c r="D36" s="14"/>
      <c r="E36" s="16"/>
    </row>
    <row r="37" customFormat="false" ht="15" hidden="false" customHeight="false" outlineLevel="0" collapsed="false">
      <c r="A37" s="20"/>
      <c r="B37" s="19"/>
      <c r="C37" s="19"/>
      <c r="D37" s="19"/>
      <c r="E37" s="21"/>
    </row>
    <row r="38" customFormat="false" ht="15" hidden="false" customHeight="false" outlineLevel="0" collapsed="false">
      <c r="A38" s="15"/>
      <c r="B38" s="14"/>
      <c r="C38" s="14"/>
      <c r="D38" s="14"/>
      <c r="E38" s="16"/>
    </row>
    <row r="39" customFormat="false" ht="15" hidden="false" customHeight="false" outlineLevel="0" collapsed="false">
      <c r="A39" s="20"/>
      <c r="B39" s="19"/>
      <c r="C39" s="19"/>
      <c r="D39" s="19"/>
      <c r="E39" s="21"/>
    </row>
    <row r="40" customFormat="false" ht="15" hidden="false" customHeight="false" outlineLevel="0" collapsed="false">
      <c r="A40" s="15"/>
      <c r="B40" s="14"/>
      <c r="C40" s="14"/>
      <c r="D40" s="14"/>
      <c r="E40" s="16"/>
    </row>
    <row r="41" customFormat="false" ht="15" hidden="false" customHeight="false" outlineLevel="0" collapsed="false">
      <c r="A41" s="20"/>
      <c r="B41" s="19"/>
      <c r="C41" s="19"/>
      <c r="D41" s="19"/>
      <c r="E41" s="21"/>
    </row>
    <row r="42" customFormat="false" ht="15" hidden="false" customHeight="false" outlineLevel="0" collapsed="false">
      <c r="A42" s="15"/>
      <c r="B42" s="14"/>
      <c r="C42" s="14"/>
      <c r="D42" s="14"/>
      <c r="E42" s="16"/>
    </row>
    <row r="43" customFormat="false" ht="15" hidden="false" customHeight="false" outlineLevel="0" collapsed="false">
      <c r="A43" s="20"/>
      <c r="B43" s="19"/>
      <c r="C43" s="19"/>
      <c r="D43" s="19"/>
      <c r="E43" s="21"/>
    </row>
    <row r="44" customFormat="false" ht="15" hidden="false" customHeight="false" outlineLevel="0" collapsed="false">
      <c r="A44" s="15"/>
      <c r="B44" s="14"/>
      <c r="C44" s="14"/>
      <c r="D44" s="14"/>
      <c r="E44" s="16"/>
    </row>
    <row r="45" customFormat="false" ht="15" hidden="false" customHeight="false" outlineLevel="0" collapsed="false">
      <c r="A45" s="20"/>
      <c r="B45" s="19"/>
      <c r="C45" s="19"/>
      <c r="D45" s="19"/>
      <c r="E45" s="21"/>
    </row>
    <row r="46" customFormat="false" ht="15" hidden="false" customHeight="false" outlineLevel="0" collapsed="false">
      <c r="A46" s="15"/>
      <c r="B46" s="14"/>
      <c r="C46" s="14"/>
      <c r="D46" s="14"/>
      <c r="E46" s="16"/>
    </row>
    <row r="47" customFormat="false" ht="15" hidden="false" customHeight="false" outlineLevel="0" collapsed="false">
      <c r="A47" s="20"/>
      <c r="B47" s="19"/>
      <c r="C47" s="19"/>
      <c r="D47" s="19"/>
      <c r="E47" s="21"/>
    </row>
    <row r="48" customFormat="false" ht="15" hidden="false" customHeight="false" outlineLevel="0" collapsed="false">
      <c r="A48" s="15"/>
      <c r="B48" s="14"/>
      <c r="C48" s="14"/>
      <c r="D48" s="14"/>
      <c r="E48" s="16"/>
    </row>
    <row r="49" customFormat="false" ht="15" hidden="false" customHeight="false" outlineLevel="0" collapsed="false">
      <c r="A49" s="20"/>
      <c r="B49" s="19"/>
      <c r="C49" s="19"/>
      <c r="D49" s="19"/>
      <c r="E49" s="21"/>
    </row>
    <row r="50" customFormat="false" ht="15" hidden="false" customHeight="false" outlineLevel="0" collapsed="false">
      <c r="A50" s="15"/>
      <c r="B50" s="14"/>
      <c r="C50" s="14"/>
      <c r="D50" s="14"/>
      <c r="E50" s="16"/>
    </row>
    <row r="51" customFormat="false" ht="15" hidden="false" customHeight="false" outlineLevel="0" collapsed="false">
      <c r="A51" s="20"/>
      <c r="B51" s="19"/>
      <c r="C51" s="19"/>
      <c r="D51" s="19"/>
      <c r="E51" s="21"/>
    </row>
    <row r="52" customFormat="false" ht="15" hidden="false" customHeight="false" outlineLevel="0" collapsed="false">
      <c r="A52" s="15"/>
      <c r="B52" s="14"/>
      <c r="C52" s="14"/>
      <c r="D52" s="14"/>
      <c r="E52" s="16"/>
    </row>
    <row r="53" customFormat="false" ht="15" hidden="false" customHeight="false" outlineLevel="0" collapsed="false">
      <c r="A53" s="20"/>
      <c r="B53" s="19"/>
      <c r="C53" s="19"/>
      <c r="D53" s="19"/>
      <c r="E53" s="21"/>
    </row>
    <row r="54" customFormat="false" ht="15" hidden="false" customHeight="false" outlineLevel="0" collapsed="false">
      <c r="A54" s="15"/>
      <c r="B54" s="14"/>
      <c r="C54" s="14"/>
      <c r="D54" s="14"/>
      <c r="E54" s="16"/>
    </row>
    <row r="55" customFormat="false" ht="15" hidden="false" customHeight="false" outlineLevel="0" collapsed="false">
      <c r="A55" s="20"/>
      <c r="B55" s="19"/>
      <c r="C55" s="19"/>
      <c r="D55" s="19"/>
      <c r="E55" s="21"/>
    </row>
    <row r="56" customFormat="false" ht="15" hidden="false" customHeight="false" outlineLevel="0" collapsed="false">
      <c r="A56" s="15"/>
      <c r="B56" s="14"/>
      <c r="C56" s="14"/>
      <c r="D56" s="14"/>
      <c r="E56" s="16"/>
    </row>
    <row r="57" customFormat="false" ht="15" hidden="false" customHeight="false" outlineLevel="0" collapsed="false">
      <c r="A57" s="20"/>
      <c r="B57" s="19"/>
      <c r="C57" s="19"/>
      <c r="D57" s="19"/>
      <c r="E57" s="21"/>
    </row>
    <row r="58" customFormat="false" ht="15" hidden="false" customHeight="false" outlineLevel="0" collapsed="false">
      <c r="A58" s="15"/>
      <c r="B58" s="14"/>
      <c r="C58" s="14"/>
      <c r="D58" s="14"/>
      <c r="E58" s="16"/>
    </row>
    <row r="59" customFormat="false" ht="15" hidden="false" customHeight="false" outlineLevel="0" collapsed="false">
      <c r="A59" s="20"/>
      <c r="B59" s="19"/>
      <c r="C59" s="19"/>
      <c r="D59" s="19"/>
      <c r="E59" s="21"/>
    </row>
    <row r="60" customFormat="false" ht="15" hidden="false" customHeight="false" outlineLevel="0" collapsed="false">
      <c r="A60" s="15"/>
      <c r="B60" s="14"/>
      <c r="C60" s="14"/>
      <c r="D60" s="14"/>
      <c r="E60" s="16"/>
    </row>
    <row r="61" customFormat="false" ht="15" hidden="false" customHeight="false" outlineLevel="0" collapsed="false">
      <c r="A61" s="20"/>
      <c r="B61" s="19"/>
      <c r="C61" s="19"/>
      <c r="D61" s="19"/>
      <c r="E61" s="21"/>
    </row>
  </sheetData>
  <sheetProtection sheet="true" formatCells="false" formatColumns="false" formatRows="false" sort="false" autoFilter="false"/>
  <dataValidations count="1">
    <dataValidation allowBlank="true" errorStyle="stop" operator="between" showDropDown="false" showErrorMessage="false" showInputMessage="false" sqref="B2:B61" type="list">
      <formula1>Jobs!$A$2:$A$4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22" t="str">
        <f aca="false">Settings!B2&amp;" - Job Dashboard"</f>
        <v>Acme Renovations LLC - Job Dashboard</v>
      </c>
    </row>
    <row r="3" customFormat="false" ht="31.5" hidden="false" customHeight="true" outlineLevel="0" collapsed="false">
      <c r="A3" s="7" t="s">
        <v>31</v>
      </c>
      <c r="B3" s="7" t="s">
        <v>32</v>
      </c>
      <c r="C3" s="7" t="s">
        <v>34</v>
      </c>
      <c r="D3" s="7" t="s">
        <v>90</v>
      </c>
      <c r="E3" s="7" t="s">
        <v>91</v>
      </c>
      <c r="F3" s="7" t="s">
        <v>92</v>
      </c>
      <c r="G3" s="7" t="s">
        <v>93</v>
      </c>
      <c r="H3" s="7" t="s">
        <v>94</v>
      </c>
      <c r="I3" s="7" t="s">
        <v>95</v>
      </c>
      <c r="J3" s="7" t="s">
        <v>96</v>
      </c>
      <c r="K3" s="7" t="s">
        <v>97</v>
      </c>
    </row>
    <row r="4" customFormat="false" ht="15" hidden="false" customHeight="false" outlineLevel="0" collapsed="false">
      <c r="A4" s="23" t="str">
        <f aca="false">IF(Jobs!A2="","",Jobs!A2)</f>
        <v>J-101</v>
      </c>
      <c r="B4" s="23" t="str">
        <f aca="false">IF(A4="","",Jobs!B2)</f>
        <v>Miller</v>
      </c>
      <c r="C4" s="23" t="str">
        <f aca="false">IF(A4="","",Jobs!D2)</f>
        <v>Active</v>
      </c>
      <c r="D4" s="24" t="n">
        <f aca="false">IF(A4="","",Jobs!F2+Jobs!G2)</f>
        <v>50500</v>
      </c>
      <c r="E4" s="24" t="n">
        <f aca="false">IF(A4="","",Jobs!M2)</f>
        <v>34000</v>
      </c>
      <c r="F4" s="17" t="n">
        <f aca="false">IF(A4="","",SUMIFS('Costs Log'!$F$2:$F$61,'Costs Log'!$B$2:$B$61,A4))</f>
        <v>19700</v>
      </c>
      <c r="G4" s="18" t="n">
        <f aca="false">IF(OR(A4="",E4=0),"",F4/E4)</f>
        <v>0.579411764705882</v>
      </c>
      <c r="H4" s="17" t="n">
        <f aca="false">IF(A4="","",SUMIFS('Payments Log'!$E$2:$E$61,'Payments Log'!$B$2:$B$61,A4))</f>
        <v>33600</v>
      </c>
      <c r="I4" s="17" t="n">
        <f aca="false">IF(A4="","",H4-F4)</f>
        <v>13900</v>
      </c>
      <c r="J4" s="18" t="n">
        <f aca="false">IF(OR(A4="",D4=0),"",(D4-MAX(E4,F4))/D4)</f>
        <v>0.326732673267327</v>
      </c>
      <c r="K4" s="25" t="str">
        <f aca="false">IF(A4="","",IF(F4&gt;E4,"OVER BUDGET",IF(J4&lt;Settings!$B$5,"Low margin","OK")))</f>
        <v>OK</v>
      </c>
    </row>
    <row r="5" customFormat="false" ht="15" hidden="false" customHeight="false" outlineLevel="0" collapsed="false">
      <c r="A5" s="23" t="str">
        <f aca="false">IF(Jobs!A3="","",Jobs!A3)</f>
        <v>J-102</v>
      </c>
      <c r="B5" s="23" t="str">
        <f aca="false">IF(A5="","",Jobs!B3)</f>
        <v>Okafor</v>
      </c>
      <c r="C5" s="23" t="str">
        <f aca="false">IF(A5="","",Jobs!D3)</f>
        <v>Complete</v>
      </c>
      <c r="D5" s="24" t="n">
        <f aca="false">IF(A5="","",Jobs!F3+Jobs!G3)</f>
        <v>22000</v>
      </c>
      <c r="E5" s="24" t="n">
        <f aca="false">IF(A5="","",Jobs!M3)</f>
        <v>14500</v>
      </c>
      <c r="F5" s="17" t="n">
        <f aca="false">IF(A5="","",SUMIFS('Costs Log'!$F$2:$F$61,'Costs Log'!$B$2:$B$61,A5))</f>
        <v>14300</v>
      </c>
      <c r="G5" s="18" t="n">
        <f aca="false">IF(OR(A5="",E5=0),"",F5/E5)</f>
        <v>0.986206896551724</v>
      </c>
      <c r="H5" s="17" t="n">
        <f aca="false">IF(A5="","",SUMIFS('Payments Log'!$E$2:$E$61,'Payments Log'!$B$2:$B$61,A5))</f>
        <v>22000</v>
      </c>
      <c r="I5" s="17" t="n">
        <f aca="false">IF(A5="","",H5-F5)</f>
        <v>7700</v>
      </c>
      <c r="J5" s="18" t="n">
        <f aca="false">IF(OR(A5="",D5=0),"",(D5-MAX(E5,F5))/D5)</f>
        <v>0.340909090909091</v>
      </c>
      <c r="K5" s="25" t="str">
        <f aca="false">IF(A5="","",IF(F5&gt;E5,"OVER BUDGET",IF(J5&lt;Settings!$B$5,"Low margin","OK")))</f>
        <v>OK</v>
      </c>
    </row>
    <row r="6" customFormat="false" ht="15" hidden="false" customHeight="false" outlineLevel="0" collapsed="false">
      <c r="A6" s="23" t="str">
        <f aca="false">IF(Jobs!A4="","",Jobs!A4)</f>
        <v>J-103</v>
      </c>
      <c r="B6" s="23" t="str">
        <f aca="false">IF(A6="","",Jobs!B4)</f>
        <v>Chen</v>
      </c>
      <c r="C6" s="23" t="str">
        <f aca="false">IF(A6="","",Jobs!D4)</f>
        <v>Active</v>
      </c>
      <c r="D6" s="24" t="n">
        <f aca="false">IF(A6="","",Jobs!F4+Jobs!G4)</f>
        <v>61000</v>
      </c>
      <c r="E6" s="24" t="n">
        <f aca="false">IF(A6="","",Jobs!M4)</f>
        <v>45500</v>
      </c>
      <c r="F6" s="17" t="n">
        <f aca="false">IF(A6="","",SUMIFS('Costs Log'!$F$2:$F$61,'Costs Log'!$B$2:$B$61,A6))</f>
        <v>11300</v>
      </c>
      <c r="G6" s="18" t="n">
        <f aca="false">IF(OR(A6="",E6=0),"",F6/E6)</f>
        <v>0.248351648351648</v>
      </c>
      <c r="H6" s="17" t="n">
        <f aca="false">IF(A6="","",SUMIFS('Payments Log'!$E$2:$E$61,'Payments Log'!$B$2:$B$61,A6))</f>
        <v>15250</v>
      </c>
      <c r="I6" s="17" t="n">
        <f aca="false">IF(A6="","",H6-F6)</f>
        <v>3950</v>
      </c>
      <c r="J6" s="18" t="n">
        <f aca="false">IF(OR(A6="",D6=0),"",(D6-MAX(E6,F6))/D6)</f>
        <v>0.254098360655738</v>
      </c>
      <c r="K6" s="25" t="str">
        <f aca="false">IF(A6="","",IF(F6&gt;E6,"OVER BUDGET",IF(J6&lt;Settings!$B$5,"Low margin","OK")))</f>
        <v>OK</v>
      </c>
    </row>
  </sheetData>
  <sheetProtection sheet="true" formatCells="false" formatColumns="false" formatRows="false" sort="false" autoFilter="false"/>
  <conditionalFormatting sqref="K4:K6">
    <cfRule type="cellIs" priority="2" operator="equal" aboveAverage="0" equalAverage="0" bottom="0" percent="0" rank="0" text="" dxfId="0">
      <formula>"OVER BUDGET"</formula>
    </cfRule>
    <cfRule type="cellIs" priority="3" operator="equal" aboveAverage="0" equalAverage="0" bottom="0" percent="0" rank="0" text="" dxfId="1">
      <formula>"Low margin"</formula>
    </cfRule>
    <cfRule type="cellIs" priority="4" operator="equal" aboveAverage="0" equalAverage="0" bottom="0" percent="0" rank="0" text="" dxfId="2">
      <formula>"OK"</formula>
    </cfRule>
  </conditionalFormatting>
  <conditionalFormatting sqref="G4:G6">
    <cfRule type="expression" priority="5" aboveAverage="0" equalAverage="0" bottom="0" percent="0" rank="0" text="" dxfId="0">
      <formula>AND(G4&lt;&gt;"",G4&gt;1)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2026-10-30T17:28:40Z</dcterms:created>
  <dc:creator>openpyxl</dc:creator>
  <dc:description/>
  <dc:language>en-US</dc:language>
  <cp:lastModifiedBy/>
  <dcterms:modified xsi:type="dcterms:W3CDTF">2026-10-30T17:28:40Z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