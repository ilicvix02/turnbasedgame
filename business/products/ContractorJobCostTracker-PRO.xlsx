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ettings" sheetId="2" state="visible" r:id="rId4"/>
    <sheet name="Jobs" sheetId="3" state="visible" r:id="rId5"/>
    <sheet name="Costs Log" sheetId="4" state="visible" r:id="rId6"/>
    <sheet name="Payments Log" sheetId="5" state="visible" r:id="rId7"/>
    <sheet name="Job Dashboard" sheetId="6" state="visible" r:id="rId8"/>
    <sheet name="Cash Flow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Approved change orders added to the contract value.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R3" authorId="0">
      <text>
        <r>
          <rPr>
            <sz val="10"/>
            <rFont val="Arial"/>
            <family val="2"/>
          </rPr>
          <t xml:space="preserve">12 months of Settings overhead, split across non-Bidding jobs by contract value.</t>
        </r>
      </text>
    </comment>
  </commentList>
</comments>
</file>

<file path=xl/sharedStrings.xml><?xml version="1.0" encoding="utf-8"?>
<sst xmlns="http://schemas.openxmlformats.org/spreadsheetml/2006/main" count="141" uniqueCount="112">
  <si>
    <t xml:space="preserve">Contractor Job Cost &amp; Cash Flow Tracker - PRO Edition</t>
  </si>
  <si>
    <t xml:space="preserve">Know which jobs make money before the job is over - not at tax time.</t>
  </si>
  <si>
    <t xml:space="preserve">HOW TO USE (10 minutes)</t>
  </si>
  <si>
    <t xml:space="preserve">1. Settings tab: enter your company name, opening cash balance, monthly overhead and start month.</t>
  </si>
  <si>
    <t xml:space="preserve">2. Jobs tab: one row per job - contract value and your estimated cost by category.</t>
  </si>
  <si>
    <t xml:space="preserve">3. Costs Log: every receipt, timesheet or sub invoice - date, job ID, category, amount.</t>
  </si>
  <si>
    <t xml:space="preserve">4. Payments Log: every deposit or progress payment you receive from a client.</t>
  </si>
  <si>
    <t xml:space="preserve">5. Job Dashboard and Cash Flow update automatically. Red = over budget or cash going negative.</t>
  </si>
  <si>
    <t xml:space="preserve">COLOR LEGEND</t>
  </si>
  <si>
    <t xml:space="preserve">Blue text = a value you type in.   Black text = formula, do not overwrite.   Green text = pulled from another tab.</t>
  </si>
  <si>
    <t xml:space="preserve">Yellow fill = key setting you should review first.</t>
  </si>
  <si>
    <t xml:space="preserve">Formula cells are locked so they can't be overwritten by accident. To change a formula: Review &gt; Unprotect Sheet (no password).</t>
  </si>
  <si>
    <t xml:space="preserve">The example rows (jobs J-101 to J-103 and their costs/payments) show the expected format. Overwrite or delete them.</t>
  </si>
  <si>
    <t xml:space="preserve">Setting</t>
  </si>
  <si>
    <t xml:space="preserve">Value</t>
  </si>
  <si>
    <t xml:space="preserve">Notes</t>
  </si>
  <si>
    <t xml:space="preserve">Company name</t>
  </si>
  <si>
    <t xml:space="preserve">Acme Renovations LLC</t>
  </si>
  <si>
    <t xml:space="preserve">Shown on dashboards.</t>
  </si>
  <si>
    <t xml:space="preserve">Opening cash balance ($)</t>
  </si>
  <si>
    <t xml:space="preserve">Bank balance on the start month's first day.</t>
  </si>
  <si>
    <t xml:space="preserve">Monthly fixed overhead ($)</t>
  </si>
  <si>
    <t xml:space="preserve">Rent, insurance, truck, software, office salary. Example value - replace.</t>
  </si>
  <si>
    <t xml:space="preserve">Target margin after overhead (%)</t>
  </si>
  <si>
    <t xml:space="preserve">Jobs projected below this are flagged. Example value - set your own.</t>
  </si>
  <si>
    <t xml:space="preserve">Forecast start month</t>
  </si>
  <si>
    <t xml:space="preserve">Enter the 1st day of a month.</t>
  </si>
  <si>
    <t xml:space="preserve">Job ID</t>
  </si>
  <si>
    <t xml:space="preserve">Client</t>
  </si>
  <si>
    <t xml:space="preserve">Job description</t>
  </si>
  <si>
    <t xml:space="preserve">Status</t>
  </si>
  <si>
    <t xml:space="preserve">Start date</t>
  </si>
  <si>
    <t xml:space="preserve">Contract value ($)</t>
  </si>
  <si>
    <t xml:space="preserve">Change orders ($)</t>
  </si>
  <si>
    <t xml:space="preserve">Est. labor ($)</t>
  </si>
  <si>
    <t xml:space="preserve">Est. materials ($)</t>
  </si>
  <si>
    <t xml:space="preserve">Est. subs ($)</t>
  </si>
  <si>
    <t xml:space="preserve">Est. equipment ($)</t>
  </si>
  <si>
    <t xml:space="preserve">Est. other ($)</t>
  </si>
  <si>
    <t xml:space="preserve">Est. total cost ($)</t>
  </si>
  <si>
    <t xml:space="preserve">Est. margin (%)</t>
  </si>
  <si>
    <t xml:space="preserve">J-101</t>
  </si>
  <si>
    <t xml:space="preserve">Miller</t>
  </si>
  <si>
    <t xml:space="preserve">Kitchen remodel</t>
  </si>
  <si>
    <t xml:space="preserve">Active</t>
  </si>
  <si>
    <t xml:space="preserve">J-102</t>
  </si>
  <si>
    <t xml:space="preserve">Okafor</t>
  </si>
  <si>
    <t xml:space="preserve">Deck + pergola</t>
  </si>
  <si>
    <t xml:space="preserve">Complete</t>
  </si>
  <si>
    <t xml:space="preserve">J-103</t>
  </si>
  <si>
    <t xml:space="preserve">Chen</t>
  </si>
  <si>
    <t xml:space="preserve">Basement finish</t>
  </si>
  <si>
    <t xml:space="preserve">Date</t>
  </si>
  <si>
    <t xml:space="preserve">Category</t>
  </si>
  <si>
    <t xml:space="preserve">Vendor / worker</t>
  </si>
  <si>
    <t xml:space="preserve">Description</t>
  </si>
  <si>
    <t xml:space="preserve">Amount ($)</t>
  </si>
  <si>
    <t xml:space="preserve">Materials</t>
  </si>
  <si>
    <t xml:space="preserve">Home Depot</t>
  </si>
  <si>
    <t xml:space="preserve">Cabinets deposit</t>
  </si>
  <si>
    <t xml:space="preserve">Labor</t>
  </si>
  <si>
    <t xml:space="preserve">Crew payroll</t>
  </si>
  <si>
    <t xml:space="preserve">Week 2 demo + framing</t>
  </si>
  <si>
    <t xml:space="preserve">84 Lumber</t>
  </si>
  <si>
    <t xml:space="preserve">Composite decking</t>
  </si>
  <si>
    <t xml:space="preserve">Deck build</t>
  </si>
  <si>
    <t xml:space="preserve">Subcontractors</t>
  </si>
  <si>
    <t xml:space="preserve">Spark Electric</t>
  </si>
  <si>
    <t xml:space="preserve">Rough-in electrical</t>
  </si>
  <si>
    <t xml:space="preserve">ABC Supply</t>
  </si>
  <si>
    <t xml:space="preserve">Drywall + insulation</t>
  </si>
  <si>
    <t xml:space="preserve">Install cabinets</t>
  </si>
  <si>
    <t xml:space="preserve">Framing</t>
  </si>
  <si>
    <t xml:space="preserve">Invoice #</t>
  </si>
  <si>
    <t xml:space="preserve">Note</t>
  </si>
  <si>
    <t xml:space="preserve">Amount received ($)</t>
  </si>
  <si>
    <t xml:space="preserve">INV-001</t>
  </si>
  <si>
    <t xml:space="preserve">Deposit 30%</t>
  </si>
  <si>
    <t xml:space="preserve">INV-002</t>
  </si>
  <si>
    <t xml:space="preserve">Deposit 50%</t>
  </si>
  <si>
    <t xml:space="preserve">INV-003</t>
  </si>
  <si>
    <t xml:space="preserve">Final</t>
  </si>
  <si>
    <t xml:space="preserve">INV-004</t>
  </si>
  <si>
    <t xml:space="preserve">Deposit 25%</t>
  </si>
  <si>
    <t xml:space="preserve">INV-005</t>
  </si>
  <si>
    <t xml:space="preserve">Progress 40%</t>
  </si>
  <si>
    <t xml:space="preserve">Contract + COs ($)</t>
  </si>
  <si>
    <t xml:space="preserve">Est. cost ($)</t>
  </si>
  <si>
    <t xml:space="preserve">Actual labor ($)</t>
  </si>
  <si>
    <t xml:space="preserve">Actual materials ($)</t>
  </si>
  <si>
    <t xml:space="preserve">Actual subcontractors ($)</t>
  </si>
  <si>
    <t xml:space="preserve">Actual equipment ($)</t>
  </si>
  <si>
    <t xml:space="preserve">Actual other ($)</t>
  </si>
  <si>
    <t xml:space="preserve">Actual cost ($)</t>
  </si>
  <si>
    <t xml:space="preserve">% of budget used</t>
  </si>
  <si>
    <t xml:space="preserve">Labor variance ($)</t>
  </si>
  <si>
    <t xml:space="preserve">Materials variance ($)</t>
  </si>
  <si>
    <t xml:space="preserve">Received ($)</t>
  </si>
  <si>
    <t xml:space="preserve">Outstanding to bill ($)</t>
  </si>
  <si>
    <t xml:space="preserve">Profit so far ($)</t>
  </si>
  <si>
    <t xml:space="preserve">Overhead share ($)</t>
  </si>
  <si>
    <t xml:space="preserve">Projected net margin (%)</t>
  </si>
  <si>
    <t xml:space="preserve">Flag</t>
  </si>
  <si>
    <t xml:space="preserve">TOTAL</t>
  </si>
  <si>
    <t xml:space="preserve">Month</t>
  </si>
  <si>
    <t xml:space="preserve">Cash in: client payments ($)</t>
  </si>
  <si>
    <t xml:space="preserve">Cash out: job costs ($)</t>
  </si>
  <si>
    <t xml:space="preserve">Cash out: overhead ($)</t>
  </si>
  <si>
    <t xml:space="preserve">Net cash flow ($)</t>
  </si>
  <si>
    <t xml:space="preserve">Ending cash balance ($)</t>
  </si>
  <si>
    <t xml:space="preserve">Warning</t>
  </si>
  <si>
    <t xml:space="preserve">Tip: add expected future payments (with a future date) to the Payments Log to turn this into a forecast. Remove them if the client pays late.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</si>
</sst>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%;\(0.0%\);\-"/>
    <numFmt numFmtId="167" formatCode="yyyy\-mm\-dd"/>
    <numFmt numFmtId="168" formatCode="mmm\ yyyy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sz val="10"/>
      <name val="Arial"/>
      <family val="2"/>
    </font>
    <font>
      <b val="true"/>
      <sz val="14"/>
      <color rgb="FF008000"/>
      <name val="Arial"/>
      <family val="0"/>
      <charset val="1"/>
    </font>
    <font>
      <sz val="11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A5F"/>
        <bgColor rgb="FF333333"/>
      </patternFill>
    </fill>
    <fill>
      <patternFill patternType="solid">
        <fgColor rgb="FFF2F5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FD8"/>
      </left>
      <right style="thin">
        <color rgb="FFC8CFD8"/>
      </right>
      <top style="thin">
        <color rgb="FFC8CFD8"/>
      </top>
      <bottom style="thin">
        <color rgb="FFC8CF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9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9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9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8D7DA"/>
        </patternFill>
      </fill>
    </dxf>
    <dxf>
      <fill>
        <patternFill>
          <bgColor rgb="FFFFF3CD"/>
        </patternFill>
      </fill>
    </dxf>
    <dxf>
      <fill>
        <patternFill>
          <bgColor rgb="FFD4ED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F2F5F9"/>
      <rgbColor rgb="FF660066"/>
      <rgbColor rgb="FFFF8080"/>
      <rgbColor rgb="FF0066CC"/>
      <rgbColor rgb="FFC8CF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/>
    </row>
    <row r="5" customFormat="false" ht="15" hidden="false" customHeight="false" outlineLevel="0" collapsed="false">
      <c r="B5" s="4" t="s">
        <v>2</v>
      </c>
    </row>
    <row r="6" customFormat="false" ht="15" hidden="false" customHeight="false" outlineLevel="0" collapsed="false">
      <c r="B6" s="3" t="s">
        <v>3</v>
      </c>
    </row>
    <row r="7" customFormat="false" ht="15" hidden="false" customHeight="false" outlineLevel="0" collapsed="false">
      <c r="B7" s="3" t="s">
        <v>4</v>
      </c>
    </row>
    <row r="8" customFormat="false" ht="15" hidden="false" customHeight="false" outlineLevel="0" collapsed="false">
      <c r="B8" s="3" t="s">
        <v>5</v>
      </c>
    </row>
    <row r="9" customFormat="false" ht="15" hidden="false" customHeight="false" outlineLevel="0" collapsed="false">
      <c r="B9" s="3" t="s">
        <v>6</v>
      </c>
    </row>
    <row r="10" customFormat="false" ht="15" hidden="false" customHeight="false" outlineLevel="0" collapsed="false">
      <c r="B10" s="3" t="s">
        <v>7</v>
      </c>
    </row>
    <row r="11" customFormat="false" ht="15" hidden="false" customHeight="false" outlineLevel="0" collapsed="false">
      <c r="B11" s="3"/>
    </row>
    <row r="12" customFormat="false" ht="15" hidden="false" customHeight="false" outlineLevel="0" collapsed="false">
      <c r="B12" s="4" t="s">
        <v>8</v>
      </c>
    </row>
    <row r="13" customFormat="false" ht="15" hidden="false" customHeight="false" outlineLevel="0" collapsed="false">
      <c r="B13" s="3" t="s">
        <v>9</v>
      </c>
    </row>
    <row r="14" customFormat="false" ht="15" hidden="false" customHeight="false" outlineLevel="0" collapsed="false">
      <c r="B14" s="5" t="s">
        <v>10</v>
      </c>
    </row>
    <row r="15" customFormat="false" ht="15" hidden="false" customHeight="false" outlineLevel="0" collapsed="false">
      <c r="B15" s="3" t="s">
        <v>11</v>
      </c>
    </row>
    <row r="16" customFormat="false" ht="15" hidden="false" customHeight="false" outlineLevel="0" collapsed="false">
      <c r="B16" s="3"/>
    </row>
    <row r="17" customFormat="false" ht="15" hidden="false" customHeight="false" outlineLevel="0" collapsed="false">
      <c r="B17" s="3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60"/>
  </cols>
  <sheetData>
    <row r="1" customFormat="false" ht="31.5" hidden="false" customHeight="true" outlineLevel="0" collapsed="false">
      <c r="A1" s="6" t="s">
        <v>13</v>
      </c>
      <c r="B1" s="6" t="s">
        <v>14</v>
      </c>
      <c r="C1" s="6" t="s">
        <v>15</v>
      </c>
    </row>
    <row r="2" customFormat="false" ht="15" hidden="false" customHeight="false" outlineLevel="0" collapsed="false">
      <c r="A2" s="7" t="s">
        <v>16</v>
      </c>
      <c r="B2" s="8" t="s">
        <v>17</v>
      </c>
      <c r="C2" s="9" t="s">
        <v>18</v>
      </c>
    </row>
    <row r="3" customFormat="false" ht="15" hidden="false" customHeight="false" outlineLevel="0" collapsed="false">
      <c r="A3" s="7" t="s">
        <v>19</v>
      </c>
      <c r="B3" s="10" t="n">
        <v>15000</v>
      </c>
      <c r="C3" s="9" t="s">
        <v>20</v>
      </c>
    </row>
    <row r="4" customFormat="false" ht="15" hidden="false" customHeight="false" outlineLevel="0" collapsed="false">
      <c r="A4" s="7" t="s">
        <v>21</v>
      </c>
      <c r="B4" s="10" t="n">
        <v>1500</v>
      </c>
      <c r="C4" s="9" t="s">
        <v>22</v>
      </c>
    </row>
    <row r="5" customFormat="false" ht="15" hidden="false" customHeight="false" outlineLevel="0" collapsed="false">
      <c r="A5" s="7" t="s">
        <v>23</v>
      </c>
      <c r="B5" s="11" t="n">
        <v>0.1</v>
      </c>
      <c r="C5" s="9" t="s">
        <v>24</v>
      </c>
    </row>
    <row r="6" customFormat="false" ht="15" hidden="false" customHeight="false" outlineLevel="0" collapsed="false">
      <c r="A6" s="7" t="s">
        <v>25</v>
      </c>
      <c r="B6" s="12" t="n">
        <v>46023</v>
      </c>
      <c r="C6" s="9" t="s">
        <v>26</v>
      </c>
    </row>
  </sheetData>
  <sheetProtection sheet="true" formatCells="false" formatColumns="false" formatRows="false" sort="false" autoFilter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5" min="4" style="0" width="12"/>
    <col collapsed="false" customWidth="true" hidden="false" outlineLevel="0" max="6" min="6" style="0" width="15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13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3" min="13" style="0" width="15"/>
    <col collapsed="false" customWidth="true" hidden="false" outlineLevel="0" max="14" min="14" style="0" width="12"/>
  </cols>
  <sheetData>
    <row r="1" customFormat="false" ht="31.5" hidden="false" customHeight="true" outlineLevel="0" collapsed="false">
      <c r="A1" s="6" t="s">
        <v>27</v>
      </c>
      <c r="B1" s="6" t="s">
        <v>28</v>
      </c>
      <c r="C1" s="6" t="s">
        <v>29</v>
      </c>
      <c r="D1" s="6" t="s">
        <v>30</v>
      </c>
      <c r="E1" s="6" t="s">
        <v>31</v>
      </c>
      <c r="F1" s="6" t="s">
        <v>32</v>
      </c>
      <c r="G1" s="6" t="s">
        <v>33</v>
      </c>
      <c r="H1" s="6" t="s">
        <v>34</v>
      </c>
      <c r="I1" s="6" t="s">
        <v>35</v>
      </c>
      <c r="J1" s="6" t="s">
        <v>36</v>
      </c>
      <c r="K1" s="6" t="s">
        <v>37</v>
      </c>
      <c r="L1" s="6" t="s">
        <v>38</v>
      </c>
      <c r="M1" s="6" t="s">
        <v>39</v>
      </c>
      <c r="N1" s="6" t="s">
        <v>40</v>
      </c>
    </row>
    <row r="2" customFormat="false" ht="15" hidden="false" customHeight="false" outlineLevel="0" collapsed="false">
      <c r="A2" s="13" t="s">
        <v>41</v>
      </c>
      <c r="B2" s="13" t="s">
        <v>42</v>
      </c>
      <c r="C2" s="13" t="s">
        <v>43</v>
      </c>
      <c r="D2" s="13" t="s">
        <v>44</v>
      </c>
      <c r="E2" s="14" t="n">
        <v>46027</v>
      </c>
      <c r="F2" s="15" t="n">
        <v>48000</v>
      </c>
      <c r="G2" s="15" t="n">
        <v>2500</v>
      </c>
      <c r="H2" s="15" t="n">
        <v>14000</v>
      </c>
      <c r="I2" s="15" t="n">
        <v>12000</v>
      </c>
      <c r="J2" s="15" t="n">
        <v>6000</v>
      </c>
      <c r="K2" s="15" t="n">
        <v>1200</v>
      </c>
      <c r="L2" s="15" t="n">
        <v>800</v>
      </c>
      <c r="M2" s="16" t="n">
        <f aca="false">IF(A2="","",SUM(H2:L2))</f>
        <v>34000</v>
      </c>
      <c r="N2" s="17" t="n">
        <f aca="false">IF(OR(A2="",F2+G2=0),"",(F2+G2-M2)/(F2+G2))</f>
        <v>0.326732673267327</v>
      </c>
    </row>
    <row r="3" customFormat="false" ht="15" hidden="false" customHeight="false" outlineLevel="0" collapsed="false">
      <c r="A3" s="18" t="s">
        <v>45</v>
      </c>
      <c r="B3" s="18" t="s">
        <v>46</v>
      </c>
      <c r="C3" s="18" t="s">
        <v>47</v>
      </c>
      <c r="D3" s="18" t="s">
        <v>48</v>
      </c>
      <c r="E3" s="19" t="n">
        <v>46034</v>
      </c>
      <c r="F3" s="20" t="n">
        <v>22000</v>
      </c>
      <c r="G3" s="20" t="n">
        <v>0</v>
      </c>
      <c r="H3" s="20" t="n">
        <v>6500</v>
      </c>
      <c r="I3" s="20" t="n">
        <v>7000</v>
      </c>
      <c r="J3" s="20" t="n">
        <v>0</v>
      </c>
      <c r="K3" s="20" t="n">
        <v>600</v>
      </c>
      <c r="L3" s="20" t="n">
        <v>400</v>
      </c>
      <c r="M3" s="16" t="n">
        <f aca="false">IF(A3="","",SUM(H3:L3))</f>
        <v>14500</v>
      </c>
      <c r="N3" s="17" t="n">
        <f aca="false">IF(OR(A3="",F3+G3=0),"",(F3+G3-M3)/(F3+G3))</f>
        <v>0.340909090909091</v>
      </c>
    </row>
    <row r="4" customFormat="false" ht="15" hidden="false" customHeight="false" outlineLevel="0" collapsed="false">
      <c r="A4" s="13" t="s">
        <v>49</v>
      </c>
      <c r="B4" s="13" t="s">
        <v>50</v>
      </c>
      <c r="C4" s="13" t="s">
        <v>51</v>
      </c>
      <c r="D4" s="13" t="s">
        <v>44</v>
      </c>
      <c r="E4" s="14" t="n">
        <v>46055</v>
      </c>
      <c r="F4" s="15" t="n">
        <v>61000</v>
      </c>
      <c r="G4" s="15" t="n">
        <v>0</v>
      </c>
      <c r="H4" s="15" t="n">
        <v>18000</v>
      </c>
      <c r="I4" s="15" t="n">
        <v>14000</v>
      </c>
      <c r="J4" s="15" t="n">
        <v>11000</v>
      </c>
      <c r="K4" s="15" t="n">
        <v>1500</v>
      </c>
      <c r="L4" s="15" t="n">
        <v>1000</v>
      </c>
      <c r="M4" s="16" t="n">
        <f aca="false">IF(A4="","",SUM(H4:L4))</f>
        <v>45500</v>
      </c>
      <c r="N4" s="17" t="n">
        <f aca="false">IF(OR(A4="",F4+G4=0),"",(F4+G4-M4)/(F4+G4))</f>
        <v>0.254098360655738</v>
      </c>
    </row>
    <row r="5" customFormat="false" ht="15" hidden="false" customHeight="false" outlineLevel="0" collapsed="false">
      <c r="A5" s="18"/>
      <c r="B5" s="18"/>
      <c r="C5" s="18"/>
      <c r="D5" s="18"/>
      <c r="E5" s="19"/>
      <c r="F5" s="20"/>
      <c r="G5" s="20"/>
      <c r="H5" s="20"/>
      <c r="I5" s="20"/>
      <c r="J5" s="20"/>
      <c r="K5" s="20"/>
      <c r="L5" s="20"/>
      <c r="M5" s="16" t="str">
        <f aca="false">IF(A5="","",SUM(H5:L5))</f>
        <v/>
      </c>
      <c r="N5" s="17" t="str">
        <f aca="false">IF(OR(A5="",F5+G5=0),"",(F5+G5-M5)/(F5+G5))</f>
        <v/>
      </c>
    </row>
    <row r="6" customFormat="false" ht="15" hidden="false" customHeight="false" outlineLevel="0" collapsed="false">
      <c r="A6" s="13"/>
      <c r="B6" s="13"/>
      <c r="C6" s="13"/>
      <c r="D6" s="13"/>
      <c r="E6" s="14"/>
      <c r="F6" s="15"/>
      <c r="G6" s="15"/>
      <c r="H6" s="15"/>
      <c r="I6" s="15"/>
      <c r="J6" s="15"/>
      <c r="K6" s="15"/>
      <c r="L6" s="15"/>
      <c r="M6" s="16" t="str">
        <f aca="false">IF(A6="","",SUM(H6:L6))</f>
        <v/>
      </c>
      <c r="N6" s="17" t="str">
        <f aca="false">IF(OR(A6="",F6+G6=0),"",(F6+G6-M6)/(F6+G6))</f>
        <v/>
      </c>
    </row>
    <row r="7" customFormat="false" ht="15" hidden="false" customHeight="false" outlineLevel="0" collapsed="false">
      <c r="A7" s="18"/>
      <c r="B7" s="18"/>
      <c r="C7" s="18"/>
      <c r="D7" s="18"/>
      <c r="E7" s="19"/>
      <c r="F7" s="20"/>
      <c r="G7" s="20"/>
      <c r="H7" s="20"/>
      <c r="I7" s="20"/>
      <c r="J7" s="20"/>
      <c r="K7" s="20"/>
      <c r="L7" s="20"/>
      <c r="M7" s="16" t="str">
        <f aca="false">IF(A7="","",SUM(H7:L7))</f>
        <v/>
      </c>
      <c r="N7" s="17" t="str">
        <f aca="false">IF(OR(A7="",F7+G7=0),"",(F7+G7-M7)/(F7+G7))</f>
        <v/>
      </c>
    </row>
    <row r="8" customFormat="false" ht="15" hidden="false" customHeight="false" outlineLevel="0" collapsed="false">
      <c r="A8" s="13"/>
      <c r="B8" s="13"/>
      <c r="C8" s="13"/>
      <c r="D8" s="13"/>
      <c r="E8" s="14"/>
      <c r="F8" s="15"/>
      <c r="G8" s="15"/>
      <c r="H8" s="15"/>
      <c r="I8" s="15"/>
      <c r="J8" s="15"/>
      <c r="K8" s="15"/>
      <c r="L8" s="15"/>
      <c r="M8" s="16" t="str">
        <f aca="false">IF(A8="","",SUM(H8:L8))</f>
        <v/>
      </c>
      <c r="N8" s="17" t="str">
        <f aca="false">IF(OR(A8="",F8+G8=0),"",(F8+G8-M8)/(F8+G8))</f>
        <v/>
      </c>
    </row>
    <row r="9" customFormat="false" ht="15" hidden="false" customHeight="false" outlineLevel="0" collapsed="false">
      <c r="A9" s="18"/>
      <c r="B9" s="18"/>
      <c r="C9" s="18"/>
      <c r="D9" s="18"/>
      <c r="E9" s="19"/>
      <c r="F9" s="20"/>
      <c r="G9" s="20"/>
      <c r="H9" s="20"/>
      <c r="I9" s="20"/>
      <c r="J9" s="20"/>
      <c r="K9" s="20"/>
      <c r="L9" s="20"/>
      <c r="M9" s="16" t="str">
        <f aca="false">IF(A9="","",SUM(H9:L9))</f>
        <v/>
      </c>
      <c r="N9" s="17" t="str">
        <f aca="false">IF(OR(A9="",F9+G9=0),"",(F9+G9-M9)/(F9+G9))</f>
        <v/>
      </c>
    </row>
    <row r="10" customFormat="false" ht="15" hidden="false" customHeight="false" outlineLevel="0" collapsed="false">
      <c r="A10" s="13"/>
      <c r="B10" s="13"/>
      <c r="C10" s="13"/>
      <c r="D10" s="13"/>
      <c r="E10" s="14"/>
      <c r="F10" s="15"/>
      <c r="G10" s="15"/>
      <c r="H10" s="15"/>
      <c r="I10" s="15"/>
      <c r="J10" s="15"/>
      <c r="K10" s="15"/>
      <c r="L10" s="15"/>
      <c r="M10" s="16" t="str">
        <f aca="false">IF(A10="","",SUM(H10:L10))</f>
        <v/>
      </c>
      <c r="N10" s="17" t="str">
        <f aca="false">IF(OR(A10="",F10+G10=0),"",(F10+G10-M10)/(F10+G10))</f>
        <v/>
      </c>
    </row>
    <row r="11" customFormat="false" ht="15" hidden="false" customHeight="false" outlineLevel="0" collapsed="false">
      <c r="A11" s="18"/>
      <c r="B11" s="18"/>
      <c r="C11" s="18"/>
      <c r="D11" s="18"/>
      <c r="E11" s="19"/>
      <c r="F11" s="20"/>
      <c r="G11" s="20"/>
      <c r="H11" s="20"/>
      <c r="I11" s="20"/>
      <c r="J11" s="20"/>
      <c r="K11" s="20"/>
      <c r="L11" s="20"/>
      <c r="M11" s="16" t="str">
        <f aca="false">IF(A11="","",SUM(H11:L11))</f>
        <v/>
      </c>
      <c r="N11" s="17" t="str">
        <f aca="false">IF(OR(A11="",F11+G11=0),"",(F11+G11-M11)/(F11+G11))</f>
        <v/>
      </c>
    </row>
    <row r="12" customFormat="false" ht="15" hidden="false" customHeight="false" outlineLevel="0" collapsed="false">
      <c r="A12" s="13"/>
      <c r="B12" s="13"/>
      <c r="C12" s="13"/>
      <c r="D12" s="13"/>
      <c r="E12" s="14"/>
      <c r="F12" s="15"/>
      <c r="G12" s="15"/>
      <c r="H12" s="15"/>
      <c r="I12" s="15"/>
      <c r="J12" s="15"/>
      <c r="K12" s="15"/>
      <c r="L12" s="15"/>
      <c r="M12" s="16" t="str">
        <f aca="false">IF(A12="","",SUM(H12:L12))</f>
        <v/>
      </c>
      <c r="N12" s="17" t="str">
        <f aca="false">IF(OR(A12="",F12+G12=0),"",(F12+G12-M12)/(F12+G12))</f>
        <v/>
      </c>
    </row>
    <row r="13" customFormat="false" ht="15" hidden="false" customHeight="false" outlineLevel="0" collapsed="false">
      <c r="A13" s="18"/>
      <c r="B13" s="18"/>
      <c r="C13" s="18"/>
      <c r="D13" s="18"/>
      <c r="E13" s="19"/>
      <c r="F13" s="20"/>
      <c r="G13" s="20"/>
      <c r="H13" s="20"/>
      <c r="I13" s="20"/>
      <c r="J13" s="20"/>
      <c r="K13" s="20"/>
      <c r="L13" s="20"/>
      <c r="M13" s="16" t="str">
        <f aca="false">IF(A13="","",SUM(H13:L13))</f>
        <v/>
      </c>
      <c r="N13" s="17" t="str">
        <f aca="false">IF(OR(A13="",F13+G13=0),"",(F13+G13-M13)/(F13+G13))</f>
        <v/>
      </c>
    </row>
    <row r="14" customFormat="false" ht="15" hidden="false" customHeight="false" outlineLevel="0" collapsed="false">
      <c r="A14" s="13"/>
      <c r="B14" s="13"/>
      <c r="C14" s="13"/>
      <c r="D14" s="13"/>
      <c r="E14" s="14"/>
      <c r="F14" s="15"/>
      <c r="G14" s="15"/>
      <c r="H14" s="15"/>
      <c r="I14" s="15"/>
      <c r="J14" s="15"/>
      <c r="K14" s="15"/>
      <c r="L14" s="15"/>
      <c r="M14" s="16" t="str">
        <f aca="false">IF(A14="","",SUM(H14:L14))</f>
        <v/>
      </c>
      <c r="N14" s="17" t="str">
        <f aca="false">IF(OR(A14="",F14+G14=0),"",(F14+G14-M14)/(F14+G14))</f>
        <v/>
      </c>
    </row>
    <row r="15" customFormat="false" ht="15" hidden="false" customHeight="false" outlineLevel="0" collapsed="false">
      <c r="A15" s="18"/>
      <c r="B15" s="18"/>
      <c r="C15" s="18"/>
      <c r="D15" s="18"/>
      <c r="E15" s="19"/>
      <c r="F15" s="20"/>
      <c r="G15" s="20"/>
      <c r="H15" s="20"/>
      <c r="I15" s="20"/>
      <c r="J15" s="20"/>
      <c r="K15" s="20"/>
      <c r="L15" s="20"/>
      <c r="M15" s="16" t="str">
        <f aca="false">IF(A15="","",SUM(H15:L15))</f>
        <v/>
      </c>
      <c r="N15" s="17" t="str">
        <f aca="false">IF(OR(A15="",F15+G15=0),"",(F15+G15-M15)/(F15+G15))</f>
        <v/>
      </c>
    </row>
    <row r="16" customFormat="false" ht="15" hidden="false" customHeight="false" outlineLevel="0" collapsed="false">
      <c r="A16" s="13"/>
      <c r="B16" s="13"/>
      <c r="C16" s="13"/>
      <c r="D16" s="13"/>
      <c r="E16" s="14"/>
      <c r="F16" s="15"/>
      <c r="G16" s="15"/>
      <c r="H16" s="15"/>
      <c r="I16" s="15"/>
      <c r="J16" s="15"/>
      <c r="K16" s="15"/>
      <c r="L16" s="15"/>
      <c r="M16" s="16" t="str">
        <f aca="false">IF(A16="","",SUM(H16:L16))</f>
        <v/>
      </c>
      <c r="N16" s="17" t="str">
        <f aca="false">IF(OR(A16="",F16+G16=0),"",(F16+G16-M16)/(F16+G16))</f>
        <v/>
      </c>
    </row>
    <row r="17" customFormat="false" ht="15" hidden="false" customHeight="false" outlineLevel="0" collapsed="false">
      <c r="A17" s="18"/>
      <c r="B17" s="18"/>
      <c r="C17" s="18"/>
      <c r="D17" s="18"/>
      <c r="E17" s="19"/>
      <c r="F17" s="20"/>
      <c r="G17" s="20"/>
      <c r="H17" s="20"/>
      <c r="I17" s="20"/>
      <c r="J17" s="20"/>
      <c r="K17" s="20"/>
      <c r="L17" s="20"/>
      <c r="M17" s="16" t="str">
        <f aca="false">IF(A17="","",SUM(H17:L17))</f>
        <v/>
      </c>
      <c r="N17" s="17" t="str">
        <f aca="false">IF(OR(A17="",F17+G17=0),"",(F17+G17-M17)/(F17+G17))</f>
        <v/>
      </c>
    </row>
    <row r="18" customFormat="false" ht="15" hidden="false" customHeight="false" outlineLevel="0" collapsed="false">
      <c r="A18" s="13"/>
      <c r="B18" s="13"/>
      <c r="C18" s="13"/>
      <c r="D18" s="13"/>
      <c r="E18" s="14"/>
      <c r="F18" s="15"/>
      <c r="G18" s="15"/>
      <c r="H18" s="15"/>
      <c r="I18" s="15"/>
      <c r="J18" s="15"/>
      <c r="K18" s="15"/>
      <c r="L18" s="15"/>
      <c r="M18" s="16" t="str">
        <f aca="false">IF(A18="","",SUM(H18:L18))</f>
        <v/>
      </c>
      <c r="N18" s="17" t="str">
        <f aca="false">IF(OR(A18="",F18+G18=0),"",(F18+G18-M18)/(F18+G18))</f>
        <v/>
      </c>
    </row>
    <row r="19" customFormat="false" ht="15" hidden="false" customHeight="false" outlineLevel="0" collapsed="false">
      <c r="A19" s="18"/>
      <c r="B19" s="18"/>
      <c r="C19" s="18"/>
      <c r="D19" s="18"/>
      <c r="E19" s="19"/>
      <c r="F19" s="20"/>
      <c r="G19" s="20"/>
      <c r="H19" s="20"/>
      <c r="I19" s="20"/>
      <c r="J19" s="20"/>
      <c r="K19" s="20"/>
      <c r="L19" s="20"/>
      <c r="M19" s="16" t="str">
        <f aca="false">IF(A19="","",SUM(H19:L19))</f>
        <v/>
      </c>
      <c r="N19" s="17" t="str">
        <f aca="false">IF(OR(A19="",F19+G19=0),"",(F19+G19-M19)/(F19+G19))</f>
        <v/>
      </c>
    </row>
    <row r="20" customFormat="false" ht="15" hidden="false" customHeight="false" outlineLevel="0" collapsed="false">
      <c r="A20" s="13"/>
      <c r="B20" s="13"/>
      <c r="C20" s="13"/>
      <c r="D20" s="13"/>
      <c r="E20" s="14"/>
      <c r="F20" s="15"/>
      <c r="G20" s="15"/>
      <c r="H20" s="15"/>
      <c r="I20" s="15"/>
      <c r="J20" s="15"/>
      <c r="K20" s="15"/>
      <c r="L20" s="15"/>
      <c r="M20" s="16" t="str">
        <f aca="false">IF(A20="","",SUM(H20:L20))</f>
        <v/>
      </c>
      <c r="N20" s="17" t="str">
        <f aca="false">IF(OR(A20="",F20+G20=0),"",(F20+G20-M20)/(F20+G20))</f>
        <v/>
      </c>
    </row>
    <row r="21" customFormat="false" ht="15" hidden="false" customHeight="false" outlineLevel="0" collapsed="false">
      <c r="A21" s="18"/>
      <c r="B21" s="18"/>
      <c r="C21" s="18"/>
      <c r="D21" s="18"/>
      <c r="E21" s="19"/>
      <c r="F21" s="20"/>
      <c r="G21" s="20"/>
      <c r="H21" s="20"/>
      <c r="I21" s="20"/>
      <c r="J21" s="20"/>
      <c r="K21" s="20"/>
      <c r="L21" s="20"/>
      <c r="M21" s="16" t="str">
        <f aca="false">IF(A21="","",SUM(H21:L21))</f>
        <v/>
      </c>
      <c r="N21" s="17" t="str">
        <f aca="false">IF(OR(A21="",F21+G21=0),"",(F21+G21-M21)/(F21+G21))</f>
        <v/>
      </c>
    </row>
    <row r="22" customFormat="false" ht="15" hidden="false" customHeight="false" outlineLevel="0" collapsed="false">
      <c r="A22" s="13"/>
      <c r="B22" s="13"/>
      <c r="C22" s="13"/>
      <c r="D22" s="13"/>
      <c r="E22" s="14"/>
      <c r="F22" s="15"/>
      <c r="G22" s="15"/>
      <c r="H22" s="15"/>
      <c r="I22" s="15"/>
      <c r="J22" s="15"/>
      <c r="K22" s="15"/>
      <c r="L22" s="15"/>
      <c r="M22" s="16" t="str">
        <f aca="false">IF(A22="","",SUM(H22:L22))</f>
        <v/>
      </c>
      <c r="N22" s="17" t="str">
        <f aca="false">IF(OR(A22="",F22+G22=0),"",(F22+G22-M22)/(F22+G22))</f>
        <v/>
      </c>
    </row>
    <row r="23" customFormat="false" ht="15" hidden="false" customHeight="false" outlineLevel="0" collapsed="false">
      <c r="A23" s="18"/>
      <c r="B23" s="18"/>
      <c r="C23" s="18"/>
      <c r="D23" s="18"/>
      <c r="E23" s="19"/>
      <c r="F23" s="20"/>
      <c r="G23" s="20"/>
      <c r="H23" s="20"/>
      <c r="I23" s="20"/>
      <c r="J23" s="20"/>
      <c r="K23" s="20"/>
      <c r="L23" s="20"/>
      <c r="M23" s="16" t="str">
        <f aca="false">IF(A23="","",SUM(H23:L23))</f>
        <v/>
      </c>
      <c r="N23" s="17" t="str">
        <f aca="false">IF(OR(A23="",F23+G23=0),"",(F23+G23-M23)/(F23+G23))</f>
        <v/>
      </c>
    </row>
    <row r="24" customFormat="false" ht="15" hidden="false" customHeight="false" outlineLevel="0" collapsed="false">
      <c r="A24" s="13"/>
      <c r="B24" s="13"/>
      <c r="C24" s="13"/>
      <c r="D24" s="13"/>
      <c r="E24" s="14"/>
      <c r="F24" s="15"/>
      <c r="G24" s="15"/>
      <c r="H24" s="15"/>
      <c r="I24" s="15"/>
      <c r="J24" s="15"/>
      <c r="K24" s="15"/>
      <c r="L24" s="15"/>
      <c r="M24" s="16" t="str">
        <f aca="false">IF(A24="","",SUM(H24:L24))</f>
        <v/>
      </c>
      <c r="N24" s="17" t="str">
        <f aca="false">IF(OR(A24="",F24+G24=0),"",(F24+G24-M24)/(F24+G24))</f>
        <v/>
      </c>
    </row>
    <row r="25" customFormat="false" ht="15" hidden="false" customHeight="false" outlineLevel="0" collapsed="false">
      <c r="A25" s="18"/>
      <c r="B25" s="18"/>
      <c r="C25" s="18"/>
      <c r="D25" s="18"/>
      <c r="E25" s="19"/>
      <c r="F25" s="20"/>
      <c r="G25" s="20"/>
      <c r="H25" s="20"/>
      <c r="I25" s="20"/>
      <c r="J25" s="20"/>
      <c r="K25" s="20"/>
      <c r="L25" s="20"/>
      <c r="M25" s="16" t="str">
        <f aca="false">IF(A25="","",SUM(H25:L25))</f>
        <v/>
      </c>
      <c r="N25" s="17" t="str">
        <f aca="false">IF(OR(A25="",F25+G25=0),"",(F25+G25-M25)/(F25+G25))</f>
        <v/>
      </c>
    </row>
    <row r="26" customFormat="false" ht="15" hidden="false" customHeight="false" outlineLevel="0" collapsed="false">
      <c r="A26" s="13"/>
      <c r="B26" s="13"/>
      <c r="C26" s="13"/>
      <c r="D26" s="13"/>
      <c r="E26" s="14"/>
      <c r="F26" s="15"/>
      <c r="G26" s="15"/>
      <c r="H26" s="15"/>
      <c r="I26" s="15"/>
      <c r="J26" s="15"/>
      <c r="K26" s="15"/>
      <c r="L26" s="15"/>
      <c r="M26" s="16" t="str">
        <f aca="false">IF(A26="","",SUM(H26:L26))</f>
        <v/>
      </c>
      <c r="N26" s="17" t="str">
        <f aca="false">IF(OR(A26="",F26+G26=0),"",(F26+G26-M26)/(F26+G26))</f>
        <v/>
      </c>
    </row>
    <row r="27" customFormat="false" ht="15" hidden="false" customHeight="false" outlineLevel="0" collapsed="false">
      <c r="A27" s="18"/>
      <c r="B27" s="18"/>
      <c r="C27" s="18"/>
      <c r="D27" s="18"/>
      <c r="E27" s="19"/>
      <c r="F27" s="20"/>
      <c r="G27" s="20"/>
      <c r="H27" s="20"/>
      <c r="I27" s="20"/>
      <c r="J27" s="20"/>
      <c r="K27" s="20"/>
      <c r="L27" s="20"/>
      <c r="M27" s="16" t="str">
        <f aca="false">IF(A27="","",SUM(H27:L27))</f>
        <v/>
      </c>
      <c r="N27" s="17" t="str">
        <f aca="false">IF(OR(A27="",F27+G27=0),"",(F27+G27-M27)/(F27+G27))</f>
        <v/>
      </c>
    </row>
    <row r="28" customFormat="false" ht="15" hidden="false" customHeight="false" outlineLevel="0" collapsed="false">
      <c r="A28" s="13"/>
      <c r="B28" s="13"/>
      <c r="C28" s="13"/>
      <c r="D28" s="13"/>
      <c r="E28" s="14"/>
      <c r="F28" s="15"/>
      <c r="G28" s="15"/>
      <c r="H28" s="15"/>
      <c r="I28" s="15"/>
      <c r="J28" s="15"/>
      <c r="K28" s="15"/>
      <c r="L28" s="15"/>
      <c r="M28" s="16" t="str">
        <f aca="false">IF(A28="","",SUM(H28:L28))</f>
        <v/>
      </c>
      <c r="N28" s="17" t="str">
        <f aca="false">IF(OR(A28="",F28+G28=0),"",(F28+G28-M28)/(F28+G28))</f>
        <v/>
      </c>
    </row>
    <row r="29" customFormat="false" ht="15" hidden="false" customHeight="false" outlineLevel="0" collapsed="false">
      <c r="A29" s="18"/>
      <c r="B29" s="18"/>
      <c r="C29" s="18"/>
      <c r="D29" s="18"/>
      <c r="E29" s="19"/>
      <c r="F29" s="20"/>
      <c r="G29" s="20"/>
      <c r="H29" s="20"/>
      <c r="I29" s="20"/>
      <c r="J29" s="20"/>
      <c r="K29" s="20"/>
      <c r="L29" s="20"/>
      <c r="M29" s="16" t="str">
        <f aca="false">IF(A29="","",SUM(H29:L29))</f>
        <v/>
      </c>
      <c r="N29" s="17" t="str">
        <f aca="false">IF(OR(A29="",F29+G29=0),"",(F29+G29-M29)/(F29+G29))</f>
        <v/>
      </c>
    </row>
    <row r="30" customFormat="false" ht="15" hidden="false" customHeight="false" outlineLevel="0" collapsed="false">
      <c r="A30" s="13"/>
      <c r="B30" s="13"/>
      <c r="C30" s="13"/>
      <c r="D30" s="13"/>
      <c r="E30" s="14"/>
      <c r="F30" s="15"/>
      <c r="G30" s="15"/>
      <c r="H30" s="15"/>
      <c r="I30" s="15"/>
      <c r="J30" s="15"/>
      <c r="K30" s="15"/>
      <c r="L30" s="15"/>
      <c r="M30" s="16" t="str">
        <f aca="false">IF(A30="","",SUM(H30:L30))</f>
        <v/>
      </c>
      <c r="N30" s="17" t="str">
        <f aca="false">IF(OR(A30="",F30+G30=0),"",(F30+G30-M30)/(F30+G30))</f>
        <v/>
      </c>
    </row>
    <row r="31" customFormat="false" ht="15" hidden="false" customHeight="false" outlineLevel="0" collapsed="false">
      <c r="A31" s="18"/>
      <c r="B31" s="18"/>
      <c r="C31" s="18"/>
      <c r="D31" s="18"/>
      <c r="E31" s="19"/>
      <c r="F31" s="20"/>
      <c r="G31" s="20"/>
      <c r="H31" s="20"/>
      <c r="I31" s="20"/>
      <c r="J31" s="20"/>
      <c r="K31" s="20"/>
      <c r="L31" s="20"/>
      <c r="M31" s="16" t="str">
        <f aca="false">IF(A31="","",SUM(H31:L31))</f>
        <v/>
      </c>
      <c r="N31" s="17" t="str">
        <f aca="false">IF(OR(A31="",F31+G31=0),"",(F31+G31-M31)/(F31+G31))</f>
        <v/>
      </c>
    </row>
    <row r="32" customFormat="false" ht="15" hidden="false" customHeight="false" outlineLevel="0" collapsed="false">
      <c r="A32" s="13"/>
      <c r="B32" s="13"/>
      <c r="C32" s="13"/>
      <c r="D32" s="13"/>
      <c r="E32" s="14"/>
      <c r="F32" s="15"/>
      <c r="G32" s="15"/>
      <c r="H32" s="15"/>
      <c r="I32" s="15"/>
      <c r="J32" s="15"/>
      <c r="K32" s="15"/>
      <c r="L32" s="15"/>
      <c r="M32" s="16" t="str">
        <f aca="false">IF(A32="","",SUM(H32:L32))</f>
        <v/>
      </c>
      <c r="N32" s="17" t="str">
        <f aca="false">IF(OR(A32="",F32+G32=0),"",(F32+G32-M32)/(F32+G32))</f>
        <v/>
      </c>
    </row>
    <row r="33" customFormat="false" ht="15" hidden="false" customHeight="false" outlineLevel="0" collapsed="false">
      <c r="A33" s="18"/>
      <c r="B33" s="18"/>
      <c r="C33" s="18"/>
      <c r="D33" s="18"/>
      <c r="E33" s="19"/>
      <c r="F33" s="20"/>
      <c r="G33" s="20"/>
      <c r="H33" s="20"/>
      <c r="I33" s="20"/>
      <c r="J33" s="20"/>
      <c r="K33" s="20"/>
      <c r="L33" s="20"/>
      <c r="M33" s="16" t="str">
        <f aca="false">IF(A33="","",SUM(H33:L33))</f>
        <v/>
      </c>
      <c r="N33" s="17" t="str">
        <f aca="false">IF(OR(A33="",F33+G33=0),"",(F33+G33-M33)/(F33+G33))</f>
        <v/>
      </c>
    </row>
    <row r="34" customFormat="false" ht="15" hidden="false" customHeight="false" outlineLevel="0" collapsed="false">
      <c r="A34" s="13"/>
      <c r="B34" s="13"/>
      <c r="C34" s="13"/>
      <c r="D34" s="13"/>
      <c r="E34" s="14"/>
      <c r="F34" s="15"/>
      <c r="G34" s="15"/>
      <c r="H34" s="15"/>
      <c r="I34" s="15"/>
      <c r="J34" s="15"/>
      <c r="K34" s="15"/>
      <c r="L34" s="15"/>
      <c r="M34" s="16" t="str">
        <f aca="false">IF(A34="","",SUM(H34:L34))</f>
        <v/>
      </c>
      <c r="N34" s="17" t="str">
        <f aca="false">IF(OR(A34="",F34+G34=0),"",(F34+G34-M34)/(F34+G34))</f>
        <v/>
      </c>
    </row>
    <row r="35" customFormat="false" ht="15" hidden="false" customHeight="false" outlineLevel="0" collapsed="false">
      <c r="A35" s="18"/>
      <c r="B35" s="18"/>
      <c r="C35" s="18"/>
      <c r="D35" s="18"/>
      <c r="E35" s="19"/>
      <c r="F35" s="20"/>
      <c r="G35" s="20"/>
      <c r="H35" s="20"/>
      <c r="I35" s="20"/>
      <c r="J35" s="20"/>
      <c r="K35" s="20"/>
      <c r="L35" s="20"/>
      <c r="M35" s="16" t="str">
        <f aca="false">IF(A35="","",SUM(H35:L35))</f>
        <v/>
      </c>
      <c r="N35" s="17" t="str">
        <f aca="false">IF(OR(A35="",F35+G35=0),"",(F35+G35-M35)/(F35+G35))</f>
        <v/>
      </c>
    </row>
    <row r="36" customFormat="false" ht="15" hidden="false" customHeight="false" outlineLevel="0" collapsed="false">
      <c r="A36" s="13"/>
      <c r="B36" s="13"/>
      <c r="C36" s="13"/>
      <c r="D36" s="13"/>
      <c r="E36" s="14"/>
      <c r="F36" s="15"/>
      <c r="G36" s="15"/>
      <c r="H36" s="15"/>
      <c r="I36" s="15"/>
      <c r="J36" s="15"/>
      <c r="K36" s="15"/>
      <c r="L36" s="15"/>
      <c r="M36" s="16" t="str">
        <f aca="false">IF(A36="","",SUM(H36:L36))</f>
        <v/>
      </c>
      <c r="N36" s="17" t="str">
        <f aca="false">IF(OR(A36="",F36+G36=0),"",(F36+G36-M36)/(F36+G36))</f>
        <v/>
      </c>
    </row>
    <row r="37" customFormat="false" ht="15" hidden="false" customHeight="false" outlineLevel="0" collapsed="false">
      <c r="A37" s="18"/>
      <c r="B37" s="18"/>
      <c r="C37" s="18"/>
      <c r="D37" s="18"/>
      <c r="E37" s="19"/>
      <c r="F37" s="20"/>
      <c r="G37" s="20"/>
      <c r="H37" s="20"/>
      <c r="I37" s="20"/>
      <c r="J37" s="20"/>
      <c r="K37" s="20"/>
      <c r="L37" s="20"/>
      <c r="M37" s="16" t="str">
        <f aca="false">IF(A37="","",SUM(H37:L37))</f>
        <v/>
      </c>
      <c r="N37" s="17" t="str">
        <f aca="false">IF(OR(A37="",F37+G37=0),"",(F37+G37-M37)/(F37+G37))</f>
        <v/>
      </c>
    </row>
    <row r="38" customFormat="false" ht="15" hidden="false" customHeight="false" outlineLevel="0" collapsed="false">
      <c r="A38" s="13"/>
      <c r="B38" s="13"/>
      <c r="C38" s="13"/>
      <c r="D38" s="13"/>
      <c r="E38" s="14"/>
      <c r="F38" s="15"/>
      <c r="G38" s="15"/>
      <c r="H38" s="15"/>
      <c r="I38" s="15"/>
      <c r="J38" s="15"/>
      <c r="K38" s="15"/>
      <c r="L38" s="15"/>
      <c r="M38" s="16" t="str">
        <f aca="false">IF(A38="","",SUM(H38:L38))</f>
        <v/>
      </c>
      <c r="N38" s="17" t="str">
        <f aca="false">IF(OR(A38="",F38+G38=0),"",(F38+G38-M38)/(F38+G38))</f>
        <v/>
      </c>
    </row>
    <row r="39" customFormat="false" ht="15" hidden="false" customHeight="false" outlineLevel="0" collapsed="false">
      <c r="A39" s="18"/>
      <c r="B39" s="18"/>
      <c r="C39" s="18"/>
      <c r="D39" s="18"/>
      <c r="E39" s="19"/>
      <c r="F39" s="20"/>
      <c r="G39" s="20"/>
      <c r="H39" s="20"/>
      <c r="I39" s="20"/>
      <c r="J39" s="20"/>
      <c r="K39" s="20"/>
      <c r="L39" s="20"/>
      <c r="M39" s="16" t="str">
        <f aca="false">IF(A39="","",SUM(H39:L39))</f>
        <v/>
      </c>
      <c r="N39" s="17" t="str">
        <f aca="false">IF(OR(A39="",F39+G39=0),"",(F39+G39-M39)/(F39+G39))</f>
        <v/>
      </c>
    </row>
    <row r="40" customFormat="false" ht="15" hidden="false" customHeight="false" outlineLevel="0" collapsed="false">
      <c r="A40" s="13"/>
      <c r="B40" s="13"/>
      <c r="C40" s="13"/>
      <c r="D40" s="13"/>
      <c r="E40" s="14"/>
      <c r="F40" s="15"/>
      <c r="G40" s="15"/>
      <c r="H40" s="15"/>
      <c r="I40" s="15"/>
      <c r="J40" s="15"/>
      <c r="K40" s="15"/>
      <c r="L40" s="15"/>
      <c r="M40" s="16" t="str">
        <f aca="false">IF(A40="","",SUM(H40:L40))</f>
        <v/>
      </c>
      <c r="N40" s="17" t="str">
        <f aca="false">IF(OR(A40="",F40+G40=0),"",(F40+G40-M40)/(F40+G40))</f>
        <v/>
      </c>
    </row>
    <row r="41" customFormat="false" ht="15" hidden="false" customHeight="false" outlineLevel="0" collapsed="false">
      <c r="A41" s="18"/>
      <c r="B41" s="18"/>
      <c r="C41" s="18"/>
      <c r="D41" s="18"/>
      <c r="E41" s="19"/>
      <c r="F41" s="20"/>
      <c r="G41" s="20"/>
      <c r="H41" s="20"/>
      <c r="I41" s="20"/>
      <c r="J41" s="20"/>
      <c r="K41" s="20"/>
      <c r="L41" s="20"/>
      <c r="M41" s="16" t="str">
        <f aca="false">IF(A41="","",SUM(H41:L41))</f>
        <v/>
      </c>
      <c r="N41" s="17" t="str">
        <f aca="false">IF(OR(A41="",F41+G41=0),"",(F41+G41-M41)/(F41+G41))</f>
        <v/>
      </c>
    </row>
    <row r="42" customFormat="false" ht="15" hidden="false" customHeight="false" outlineLevel="0" collapsed="false">
      <c r="A42" s="13"/>
      <c r="B42" s="13"/>
      <c r="C42" s="13"/>
      <c r="D42" s="13"/>
      <c r="E42" s="14"/>
      <c r="F42" s="15"/>
      <c r="G42" s="15"/>
      <c r="H42" s="15"/>
      <c r="I42" s="15"/>
      <c r="J42" s="15"/>
      <c r="K42" s="15"/>
      <c r="L42" s="15"/>
      <c r="M42" s="16" t="str">
        <f aca="false">IF(A42="","",SUM(H42:L42))</f>
        <v/>
      </c>
      <c r="N42" s="17" t="str">
        <f aca="false">IF(OR(A42="",F42+G42=0),"",(F42+G42-M42)/(F42+G42))</f>
        <v/>
      </c>
    </row>
    <row r="43" customFormat="false" ht="15" hidden="false" customHeight="false" outlineLevel="0" collapsed="false">
      <c r="A43" s="18"/>
      <c r="B43" s="18"/>
      <c r="C43" s="18"/>
      <c r="D43" s="18"/>
      <c r="E43" s="19"/>
      <c r="F43" s="20"/>
      <c r="G43" s="20"/>
      <c r="H43" s="20"/>
      <c r="I43" s="20"/>
      <c r="J43" s="20"/>
      <c r="K43" s="20"/>
      <c r="L43" s="20"/>
      <c r="M43" s="16" t="str">
        <f aca="false">IF(A43="","",SUM(H43:L43))</f>
        <v/>
      </c>
      <c r="N43" s="17" t="str">
        <f aca="false">IF(OR(A43="",F43+G43=0),"",(F43+G43-M43)/(F43+G43))</f>
        <v/>
      </c>
    </row>
    <row r="44" customFormat="false" ht="15" hidden="false" customHeight="false" outlineLevel="0" collapsed="false">
      <c r="A44" s="13"/>
      <c r="B44" s="13"/>
      <c r="C44" s="13"/>
      <c r="D44" s="13"/>
      <c r="E44" s="14"/>
      <c r="F44" s="15"/>
      <c r="G44" s="15"/>
      <c r="H44" s="15"/>
      <c r="I44" s="15"/>
      <c r="J44" s="15"/>
      <c r="K44" s="15"/>
      <c r="L44" s="15"/>
      <c r="M44" s="16" t="str">
        <f aca="false">IF(A44="","",SUM(H44:L44))</f>
        <v/>
      </c>
      <c r="N44" s="17" t="str">
        <f aca="false">IF(OR(A44="",F44+G44=0),"",(F44+G44-M44)/(F44+G44))</f>
        <v/>
      </c>
    </row>
    <row r="45" customFormat="false" ht="15" hidden="false" customHeight="false" outlineLevel="0" collapsed="false">
      <c r="A45" s="18"/>
      <c r="B45" s="18"/>
      <c r="C45" s="18"/>
      <c r="D45" s="18"/>
      <c r="E45" s="19"/>
      <c r="F45" s="20"/>
      <c r="G45" s="20"/>
      <c r="H45" s="20"/>
      <c r="I45" s="20"/>
      <c r="J45" s="20"/>
      <c r="K45" s="20"/>
      <c r="L45" s="20"/>
      <c r="M45" s="16" t="str">
        <f aca="false">IF(A45="","",SUM(H45:L45))</f>
        <v/>
      </c>
      <c r="N45" s="17" t="str">
        <f aca="false">IF(OR(A45="",F45+G45=0),"",(F45+G45-M45)/(F45+G45))</f>
        <v/>
      </c>
    </row>
    <row r="46" customFormat="false" ht="15" hidden="false" customHeight="false" outlineLevel="0" collapsed="false">
      <c r="A46" s="13"/>
      <c r="B46" s="13"/>
      <c r="C46" s="13"/>
      <c r="D46" s="13"/>
      <c r="E46" s="14"/>
      <c r="F46" s="15"/>
      <c r="G46" s="15"/>
      <c r="H46" s="15"/>
      <c r="I46" s="15"/>
      <c r="J46" s="15"/>
      <c r="K46" s="15"/>
      <c r="L46" s="15"/>
      <c r="M46" s="16" t="str">
        <f aca="false">IF(A46="","",SUM(H46:L46))</f>
        <v/>
      </c>
      <c r="N46" s="17" t="str">
        <f aca="false">IF(OR(A46="",F46+G46=0),"",(F46+G46-M46)/(F46+G46))</f>
        <v/>
      </c>
    </row>
    <row r="47" customFormat="false" ht="15" hidden="false" customHeight="false" outlineLevel="0" collapsed="false">
      <c r="A47" s="18"/>
      <c r="B47" s="18"/>
      <c r="C47" s="18"/>
      <c r="D47" s="18"/>
      <c r="E47" s="19"/>
      <c r="F47" s="20"/>
      <c r="G47" s="20"/>
      <c r="H47" s="20"/>
      <c r="I47" s="20"/>
      <c r="J47" s="20"/>
      <c r="K47" s="20"/>
      <c r="L47" s="20"/>
      <c r="M47" s="16" t="str">
        <f aca="false">IF(A47="","",SUM(H47:L47))</f>
        <v/>
      </c>
      <c r="N47" s="17" t="str">
        <f aca="false">IF(OR(A47="",F47+G47=0),"",(F47+G47-M47)/(F47+G47))</f>
        <v/>
      </c>
    </row>
    <row r="48" customFormat="false" ht="15" hidden="false" customHeight="false" outlineLevel="0" collapsed="false">
      <c r="A48" s="13"/>
      <c r="B48" s="13"/>
      <c r="C48" s="13"/>
      <c r="D48" s="13"/>
      <c r="E48" s="14"/>
      <c r="F48" s="15"/>
      <c r="G48" s="15"/>
      <c r="H48" s="15"/>
      <c r="I48" s="15"/>
      <c r="J48" s="15"/>
      <c r="K48" s="15"/>
      <c r="L48" s="15"/>
      <c r="M48" s="16" t="str">
        <f aca="false">IF(A48="","",SUM(H48:L48))</f>
        <v/>
      </c>
      <c r="N48" s="17" t="str">
        <f aca="false">IF(OR(A48="",F48+G48=0),"",(F48+G48-M48)/(F48+G48))</f>
        <v/>
      </c>
    </row>
    <row r="49" customFormat="false" ht="15" hidden="false" customHeight="false" outlineLevel="0" collapsed="false">
      <c r="A49" s="18"/>
      <c r="B49" s="18"/>
      <c r="C49" s="18"/>
      <c r="D49" s="18"/>
      <c r="E49" s="19"/>
      <c r="F49" s="20"/>
      <c r="G49" s="20"/>
      <c r="H49" s="20"/>
      <c r="I49" s="20"/>
      <c r="J49" s="20"/>
      <c r="K49" s="20"/>
      <c r="L49" s="20"/>
      <c r="M49" s="16" t="str">
        <f aca="false">IF(A49="","",SUM(H49:L49))</f>
        <v/>
      </c>
      <c r="N49" s="17" t="str">
        <f aca="false">IF(OR(A49="",F49+G49=0),"",(F49+G49-M49)/(F49+G49))</f>
        <v/>
      </c>
    </row>
    <row r="50" customFormat="false" ht="15" hidden="false" customHeight="false" outlineLevel="0" collapsed="false">
      <c r="A50" s="13"/>
      <c r="B50" s="13"/>
      <c r="C50" s="13"/>
      <c r="D50" s="13"/>
      <c r="E50" s="14"/>
      <c r="F50" s="15"/>
      <c r="G50" s="15"/>
      <c r="H50" s="15"/>
      <c r="I50" s="15"/>
      <c r="J50" s="15"/>
      <c r="K50" s="15"/>
      <c r="L50" s="15"/>
      <c r="M50" s="16" t="str">
        <f aca="false">IF(A50="","",SUM(H50:L50))</f>
        <v/>
      </c>
      <c r="N50" s="17" t="str">
        <f aca="false">IF(OR(A50="",F50+G50=0),"",(F50+G50-M50)/(F50+G50))</f>
        <v/>
      </c>
    </row>
    <row r="51" customFormat="false" ht="15" hidden="false" customHeight="false" outlineLevel="0" collapsed="false">
      <c r="A51" s="18"/>
      <c r="B51" s="18"/>
      <c r="C51" s="18"/>
      <c r="D51" s="18"/>
      <c r="E51" s="19"/>
      <c r="F51" s="20"/>
      <c r="G51" s="20"/>
      <c r="H51" s="20"/>
      <c r="I51" s="20"/>
      <c r="J51" s="20"/>
      <c r="K51" s="20"/>
      <c r="L51" s="20"/>
      <c r="M51" s="16" t="str">
        <f aca="false">IF(A51="","",SUM(H51:L51))</f>
        <v/>
      </c>
      <c r="N51" s="17" t="str">
        <f aca="false">IF(OR(A51="",F51+G51=0),"",(F51+G51-M51)/(F51+G51))</f>
        <v/>
      </c>
    </row>
  </sheetData>
  <sheetProtection sheet="true" formatCells="false" formatColumns="false" formatRows="false" sort="false" autoFilter="false"/>
  <conditionalFormatting sqref="N2:N51">
    <cfRule type="expression" priority="2" aboveAverage="0" equalAverage="0" bottom="0" percent="0" rank="0" text="" dxfId="0">
      <formula>AND(N2&lt;&gt;"",N2&lt;Settings!$B$5)</formula>
    </cfRule>
  </conditionalFormatting>
  <dataValidations count="1">
    <dataValidation allowBlank="true" errorStyle="stop" operator="between" showDropDown="false" showErrorMessage="false" showInputMessage="false" sqref="D2:D51" type="list">
      <formula1>"Bidding,Active,Complete,On Hold"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14"/>
  </cols>
  <sheetData>
    <row r="1" customFormat="false" ht="31.5" hidden="false" customHeight="true" outlineLevel="0" collapsed="false">
      <c r="A1" s="6" t="s">
        <v>52</v>
      </c>
      <c r="B1" s="6" t="s">
        <v>27</v>
      </c>
      <c r="C1" s="6" t="s">
        <v>53</v>
      </c>
      <c r="D1" s="6" t="s">
        <v>54</v>
      </c>
      <c r="E1" s="6" t="s">
        <v>55</v>
      </c>
      <c r="F1" s="6" t="s">
        <v>56</v>
      </c>
    </row>
    <row r="2" customFormat="false" ht="15" hidden="false" customHeight="false" outlineLevel="0" collapsed="false">
      <c r="A2" s="14" t="n">
        <v>46030</v>
      </c>
      <c r="B2" s="13" t="s">
        <v>41</v>
      </c>
      <c r="C2" s="13" t="s">
        <v>57</v>
      </c>
      <c r="D2" s="13" t="s">
        <v>58</v>
      </c>
      <c r="E2" s="13" t="s">
        <v>59</v>
      </c>
      <c r="F2" s="15" t="n">
        <v>6200</v>
      </c>
    </row>
    <row r="3" customFormat="false" ht="15" hidden="false" customHeight="false" outlineLevel="0" collapsed="false">
      <c r="A3" s="19" t="n">
        <v>46037</v>
      </c>
      <c r="B3" s="18" t="s">
        <v>41</v>
      </c>
      <c r="C3" s="18" t="s">
        <v>60</v>
      </c>
      <c r="D3" s="18" t="s">
        <v>61</v>
      </c>
      <c r="E3" s="18" t="s">
        <v>62</v>
      </c>
      <c r="F3" s="20" t="n">
        <v>4100</v>
      </c>
    </row>
    <row r="4" customFormat="false" ht="15" hidden="false" customHeight="false" outlineLevel="0" collapsed="false">
      <c r="A4" s="14" t="n">
        <v>46036</v>
      </c>
      <c r="B4" s="13" t="s">
        <v>45</v>
      </c>
      <c r="C4" s="13" t="s">
        <v>57</v>
      </c>
      <c r="D4" s="13" t="s">
        <v>63</v>
      </c>
      <c r="E4" s="13" t="s">
        <v>64</v>
      </c>
      <c r="F4" s="15" t="n">
        <v>7400</v>
      </c>
    </row>
    <row r="5" customFormat="false" ht="15" hidden="false" customHeight="false" outlineLevel="0" collapsed="false">
      <c r="A5" s="19" t="n">
        <v>46043</v>
      </c>
      <c r="B5" s="18" t="s">
        <v>45</v>
      </c>
      <c r="C5" s="18" t="s">
        <v>60</v>
      </c>
      <c r="D5" s="18" t="s">
        <v>61</v>
      </c>
      <c r="E5" s="18" t="s">
        <v>65</v>
      </c>
      <c r="F5" s="20" t="n">
        <v>6900</v>
      </c>
    </row>
    <row r="6" customFormat="false" ht="15" hidden="false" customHeight="false" outlineLevel="0" collapsed="false">
      <c r="A6" s="14" t="n">
        <v>46056</v>
      </c>
      <c r="B6" s="13" t="s">
        <v>41</v>
      </c>
      <c r="C6" s="13" t="s">
        <v>66</v>
      </c>
      <c r="D6" s="13" t="s">
        <v>67</v>
      </c>
      <c r="E6" s="13" t="s">
        <v>68</v>
      </c>
      <c r="F6" s="15" t="n">
        <v>3800</v>
      </c>
    </row>
    <row r="7" customFormat="false" ht="15" hidden="false" customHeight="false" outlineLevel="0" collapsed="false">
      <c r="A7" s="19" t="n">
        <v>46063</v>
      </c>
      <c r="B7" s="18" t="s">
        <v>49</v>
      </c>
      <c r="C7" s="18" t="s">
        <v>57</v>
      </c>
      <c r="D7" s="18" t="s">
        <v>69</v>
      </c>
      <c r="E7" s="18" t="s">
        <v>70</v>
      </c>
      <c r="F7" s="20" t="n">
        <v>5200</v>
      </c>
    </row>
    <row r="8" customFormat="false" ht="15" hidden="false" customHeight="false" outlineLevel="0" collapsed="false">
      <c r="A8" s="14" t="n">
        <v>46071</v>
      </c>
      <c r="B8" s="13" t="s">
        <v>41</v>
      </c>
      <c r="C8" s="13" t="s">
        <v>60</v>
      </c>
      <c r="D8" s="13" t="s">
        <v>61</v>
      </c>
      <c r="E8" s="13" t="s">
        <v>71</v>
      </c>
      <c r="F8" s="15" t="n">
        <v>5600</v>
      </c>
    </row>
    <row r="9" customFormat="false" ht="15" hidden="false" customHeight="false" outlineLevel="0" collapsed="false">
      <c r="A9" s="19" t="n">
        <v>46085</v>
      </c>
      <c r="B9" s="18" t="s">
        <v>49</v>
      </c>
      <c r="C9" s="18" t="s">
        <v>60</v>
      </c>
      <c r="D9" s="18" t="s">
        <v>61</v>
      </c>
      <c r="E9" s="18" t="s">
        <v>72</v>
      </c>
      <c r="F9" s="20" t="n">
        <v>6100</v>
      </c>
    </row>
    <row r="10" customFormat="false" ht="15" hidden="false" customHeight="false" outlineLevel="0" collapsed="false">
      <c r="A10" s="14"/>
      <c r="B10" s="13"/>
      <c r="C10" s="13"/>
      <c r="D10" s="13"/>
      <c r="E10" s="13"/>
      <c r="F10" s="15"/>
    </row>
    <row r="11" customFormat="false" ht="15" hidden="false" customHeight="false" outlineLevel="0" collapsed="false">
      <c r="A11" s="19"/>
      <c r="B11" s="18"/>
      <c r="C11" s="18"/>
      <c r="D11" s="18"/>
      <c r="E11" s="18"/>
      <c r="F11" s="20"/>
    </row>
    <row r="12" customFormat="false" ht="15" hidden="false" customHeight="false" outlineLevel="0" collapsed="false">
      <c r="A12" s="14"/>
      <c r="B12" s="13"/>
      <c r="C12" s="13"/>
      <c r="D12" s="13"/>
      <c r="E12" s="13"/>
      <c r="F12" s="15"/>
    </row>
    <row r="13" customFormat="false" ht="15" hidden="false" customHeight="false" outlineLevel="0" collapsed="false">
      <c r="A13" s="19"/>
      <c r="B13" s="18"/>
      <c r="C13" s="18"/>
      <c r="D13" s="18"/>
      <c r="E13" s="18"/>
      <c r="F13" s="20"/>
    </row>
    <row r="14" customFormat="false" ht="15" hidden="false" customHeight="false" outlineLevel="0" collapsed="false">
      <c r="A14" s="14"/>
      <c r="B14" s="13"/>
      <c r="C14" s="13"/>
      <c r="D14" s="13"/>
      <c r="E14" s="13"/>
      <c r="F14" s="15"/>
    </row>
    <row r="15" customFormat="false" ht="15" hidden="false" customHeight="false" outlineLevel="0" collapsed="false">
      <c r="A15" s="19"/>
      <c r="B15" s="18"/>
      <c r="C15" s="18"/>
      <c r="D15" s="18"/>
      <c r="E15" s="18"/>
      <c r="F15" s="20"/>
    </row>
    <row r="16" customFormat="false" ht="15" hidden="false" customHeight="false" outlineLevel="0" collapsed="false">
      <c r="A16" s="14"/>
      <c r="B16" s="13"/>
      <c r="C16" s="13"/>
      <c r="D16" s="13"/>
      <c r="E16" s="13"/>
      <c r="F16" s="15"/>
    </row>
    <row r="17" customFormat="false" ht="15" hidden="false" customHeight="false" outlineLevel="0" collapsed="false">
      <c r="A17" s="19"/>
      <c r="B17" s="18"/>
      <c r="C17" s="18"/>
      <c r="D17" s="18"/>
      <c r="E17" s="18"/>
      <c r="F17" s="20"/>
    </row>
    <row r="18" customFormat="false" ht="15" hidden="false" customHeight="false" outlineLevel="0" collapsed="false">
      <c r="A18" s="14"/>
      <c r="B18" s="13"/>
      <c r="C18" s="13"/>
      <c r="D18" s="13"/>
      <c r="E18" s="13"/>
      <c r="F18" s="15"/>
    </row>
    <row r="19" customFormat="false" ht="15" hidden="false" customHeight="false" outlineLevel="0" collapsed="false">
      <c r="A19" s="19"/>
      <c r="B19" s="18"/>
      <c r="C19" s="18"/>
      <c r="D19" s="18"/>
      <c r="E19" s="18"/>
      <c r="F19" s="20"/>
    </row>
    <row r="20" customFormat="false" ht="15" hidden="false" customHeight="false" outlineLevel="0" collapsed="false">
      <c r="A20" s="14"/>
      <c r="B20" s="13"/>
      <c r="C20" s="13"/>
      <c r="D20" s="13"/>
      <c r="E20" s="13"/>
      <c r="F20" s="15"/>
    </row>
    <row r="21" customFormat="false" ht="15" hidden="false" customHeight="false" outlineLevel="0" collapsed="false">
      <c r="A21" s="19"/>
      <c r="B21" s="18"/>
      <c r="C21" s="18"/>
      <c r="D21" s="18"/>
      <c r="E21" s="18"/>
      <c r="F21" s="20"/>
    </row>
    <row r="22" customFormat="false" ht="15" hidden="false" customHeight="false" outlineLevel="0" collapsed="false">
      <c r="A22" s="14"/>
      <c r="B22" s="13"/>
      <c r="C22" s="13"/>
      <c r="D22" s="13"/>
      <c r="E22" s="13"/>
      <c r="F22" s="15"/>
    </row>
    <row r="23" customFormat="false" ht="15" hidden="false" customHeight="false" outlineLevel="0" collapsed="false">
      <c r="A23" s="19"/>
      <c r="B23" s="18"/>
      <c r="C23" s="18"/>
      <c r="D23" s="18"/>
      <c r="E23" s="18"/>
      <c r="F23" s="20"/>
    </row>
    <row r="24" customFormat="false" ht="15" hidden="false" customHeight="false" outlineLevel="0" collapsed="false">
      <c r="A24" s="14"/>
      <c r="B24" s="13"/>
      <c r="C24" s="13"/>
      <c r="D24" s="13"/>
      <c r="E24" s="13"/>
      <c r="F24" s="15"/>
    </row>
    <row r="25" customFormat="false" ht="15" hidden="false" customHeight="false" outlineLevel="0" collapsed="false">
      <c r="A25" s="19"/>
      <c r="B25" s="18"/>
      <c r="C25" s="18"/>
      <c r="D25" s="18"/>
      <c r="E25" s="18"/>
      <c r="F25" s="20"/>
    </row>
    <row r="26" customFormat="false" ht="15" hidden="false" customHeight="false" outlineLevel="0" collapsed="false">
      <c r="A26" s="14"/>
      <c r="B26" s="13"/>
      <c r="C26" s="13"/>
      <c r="D26" s="13"/>
      <c r="E26" s="13"/>
      <c r="F26" s="15"/>
    </row>
    <row r="27" customFormat="false" ht="15" hidden="false" customHeight="false" outlineLevel="0" collapsed="false">
      <c r="A27" s="19"/>
      <c r="B27" s="18"/>
      <c r="C27" s="18"/>
      <c r="D27" s="18"/>
      <c r="E27" s="18"/>
      <c r="F27" s="20"/>
    </row>
    <row r="28" customFormat="false" ht="15" hidden="false" customHeight="false" outlineLevel="0" collapsed="false">
      <c r="A28" s="14"/>
      <c r="B28" s="13"/>
      <c r="C28" s="13"/>
      <c r="D28" s="13"/>
      <c r="E28" s="13"/>
      <c r="F28" s="15"/>
    </row>
    <row r="29" customFormat="false" ht="15" hidden="false" customHeight="false" outlineLevel="0" collapsed="false">
      <c r="A29" s="19"/>
      <c r="B29" s="18"/>
      <c r="C29" s="18"/>
      <c r="D29" s="18"/>
      <c r="E29" s="18"/>
      <c r="F29" s="20"/>
    </row>
    <row r="30" customFormat="false" ht="15" hidden="false" customHeight="false" outlineLevel="0" collapsed="false">
      <c r="A30" s="14"/>
      <c r="B30" s="13"/>
      <c r="C30" s="13"/>
      <c r="D30" s="13"/>
      <c r="E30" s="13"/>
      <c r="F30" s="15"/>
    </row>
    <row r="31" customFormat="false" ht="15" hidden="false" customHeight="false" outlineLevel="0" collapsed="false">
      <c r="A31" s="19"/>
      <c r="B31" s="18"/>
      <c r="C31" s="18"/>
      <c r="D31" s="18"/>
      <c r="E31" s="18"/>
      <c r="F31" s="20"/>
    </row>
    <row r="32" customFormat="false" ht="15" hidden="false" customHeight="false" outlineLevel="0" collapsed="false">
      <c r="A32" s="14"/>
      <c r="B32" s="13"/>
      <c r="C32" s="13"/>
      <c r="D32" s="13"/>
      <c r="E32" s="13"/>
      <c r="F32" s="15"/>
    </row>
    <row r="33" customFormat="false" ht="15" hidden="false" customHeight="false" outlineLevel="0" collapsed="false">
      <c r="A33" s="19"/>
      <c r="B33" s="18"/>
      <c r="C33" s="18"/>
      <c r="D33" s="18"/>
      <c r="E33" s="18"/>
      <c r="F33" s="20"/>
    </row>
    <row r="34" customFormat="false" ht="15" hidden="false" customHeight="false" outlineLevel="0" collapsed="false">
      <c r="A34" s="14"/>
      <c r="B34" s="13"/>
      <c r="C34" s="13"/>
      <c r="D34" s="13"/>
      <c r="E34" s="13"/>
      <c r="F34" s="15"/>
    </row>
    <row r="35" customFormat="false" ht="15" hidden="false" customHeight="false" outlineLevel="0" collapsed="false">
      <c r="A35" s="19"/>
      <c r="B35" s="18"/>
      <c r="C35" s="18"/>
      <c r="D35" s="18"/>
      <c r="E35" s="18"/>
      <c r="F35" s="20"/>
    </row>
    <row r="36" customFormat="false" ht="15" hidden="false" customHeight="false" outlineLevel="0" collapsed="false">
      <c r="A36" s="14"/>
      <c r="B36" s="13"/>
      <c r="C36" s="13"/>
      <c r="D36" s="13"/>
      <c r="E36" s="13"/>
      <c r="F36" s="15"/>
    </row>
    <row r="37" customFormat="false" ht="15" hidden="false" customHeight="false" outlineLevel="0" collapsed="false">
      <c r="A37" s="19"/>
      <c r="B37" s="18"/>
      <c r="C37" s="18"/>
      <c r="D37" s="18"/>
      <c r="E37" s="18"/>
      <c r="F37" s="20"/>
    </row>
    <row r="38" customFormat="false" ht="15" hidden="false" customHeight="false" outlineLevel="0" collapsed="false">
      <c r="A38" s="14"/>
      <c r="B38" s="13"/>
      <c r="C38" s="13"/>
      <c r="D38" s="13"/>
      <c r="E38" s="13"/>
      <c r="F38" s="15"/>
    </row>
    <row r="39" customFormat="false" ht="15" hidden="false" customHeight="false" outlineLevel="0" collapsed="false">
      <c r="A39" s="19"/>
      <c r="B39" s="18"/>
      <c r="C39" s="18"/>
      <c r="D39" s="18"/>
      <c r="E39" s="18"/>
      <c r="F39" s="20"/>
    </row>
    <row r="40" customFormat="false" ht="15" hidden="false" customHeight="false" outlineLevel="0" collapsed="false">
      <c r="A40" s="14"/>
      <c r="B40" s="13"/>
      <c r="C40" s="13"/>
      <c r="D40" s="13"/>
      <c r="E40" s="13"/>
      <c r="F40" s="15"/>
    </row>
    <row r="41" customFormat="false" ht="15" hidden="false" customHeight="false" outlineLevel="0" collapsed="false">
      <c r="A41" s="19"/>
      <c r="B41" s="18"/>
      <c r="C41" s="18"/>
      <c r="D41" s="18"/>
      <c r="E41" s="18"/>
      <c r="F41" s="20"/>
    </row>
    <row r="42" customFormat="false" ht="15" hidden="false" customHeight="false" outlineLevel="0" collapsed="false">
      <c r="A42" s="14"/>
      <c r="B42" s="13"/>
      <c r="C42" s="13"/>
      <c r="D42" s="13"/>
      <c r="E42" s="13"/>
      <c r="F42" s="15"/>
    </row>
    <row r="43" customFormat="false" ht="15" hidden="false" customHeight="false" outlineLevel="0" collapsed="false">
      <c r="A43" s="19"/>
      <c r="B43" s="18"/>
      <c r="C43" s="18"/>
      <c r="D43" s="18"/>
      <c r="E43" s="18"/>
      <c r="F43" s="20"/>
    </row>
    <row r="44" customFormat="false" ht="15" hidden="false" customHeight="false" outlineLevel="0" collapsed="false">
      <c r="A44" s="14"/>
      <c r="B44" s="13"/>
      <c r="C44" s="13"/>
      <c r="D44" s="13"/>
      <c r="E44" s="13"/>
      <c r="F44" s="15"/>
    </row>
    <row r="45" customFormat="false" ht="15" hidden="false" customHeight="false" outlineLevel="0" collapsed="false">
      <c r="A45" s="19"/>
      <c r="B45" s="18"/>
      <c r="C45" s="18"/>
      <c r="D45" s="18"/>
      <c r="E45" s="18"/>
      <c r="F45" s="20"/>
    </row>
    <row r="46" customFormat="false" ht="15" hidden="false" customHeight="false" outlineLevel="0" collapsed="false">
      <c r="A46" s="14"/>
      <c r="B46" s="13"/>
      <c r="C46" s="13"/>
      <c r="D46" s="13"/>
      <c r="E46" s="13"/>
      <c r="F46" s="15"/>
    </row>
    <row r="47" customFormat="false" ht="15" hidden="false" customHeight="false" outlineLevel="0" collapsed="false">
      <c r="A47" s="19"/>
      <c r="B47" s="18"/>
      <c r="C47" s="18"/>
      <c r="D47" s="18"/>
      <c r="E47" s="18"/>
      <c r="F47" s="20"/>
    </row>
    <row r="48" customFormat="false" ht="15" hidden="false" customHeight="false" outlineLevel="0" collapsed="false">
      <c r="A48" s="14"/>
      <c r="B48" s="13"/>
      <c r="C48" s="13"/>
      <c r="D48" s="13"/>
      <c r="E48" s="13"/>
      <c r="F48" s="15"/>
    </row>
    <row r="49" customFormat="false" ht="15" hidden="false" customHeight="false" outlineLevel="0" collapsed="false">
      <c r="A49" s="19"/>
      <c r="B49" s="18"/>
      <c r="C49" s="18"/>
      <c r="D49" s="18"/>
      <c r="E49" s="18"/>
      <c r="F49" s="20"/>
    </row>
    <row r="50" customFormat="false" ht="15" hidden="false" customHeight="false" outlineLevel="0" collapsed="false">
      <c r="A50" s="14"/>
      <c r="B50" s="13"/>
      <c r="C50" s="13"/>
      <c r="D50" s="13"/>
      <c r="E50" s="13"/>
      <c r="F50" s="15"/>
    </row>
    <row r="51" customFormat="false" ht="15" hidden="false" customHeight="false" outlineLevel="0" collapsed="false">
      <c r="A51" s="19"/>
      <c r="B51" s="18"/>
      <c r="C51" s="18"/>
      <c r="D51" s="18"/>
      <c r="E51" s="18"/>
      <c r="F51" s="20"/>
    </row>
    <row r="52" customFormat="false" ht="15" hidden="false" customHeight="false" outlineLevel="0" collapsed="false">
      <c r="A52" s="14"/>
      <c r="B52" s="13"/>
      <c r="C52" s="13"/>
      <c r="D52" s="13"/>
      <c r="E52" s="13"/>
      <c r="F52" s="15"/>
    </row>
    <row r="53" customFormat="false" ht="15" hidden="false" customHeight="false" outlineLevel="0" collapsed="false">
      <c r="A53" s="19"/>
      <c r="B53" s="18"/>
      <c r="C53" s="18"/>
      <c r="D53" s="18"/>
      <c r="E53" s="18"/>
      <c r="F53" s="20"/>
    </row>
    <row r="54" customFormat="false" ht="15" hidden="false" customHeight="false" outlineLevel="0" collapsed="false">
      <c r="A54" s="14"/>
      <c r="B54" s="13"/>
      <c r="C54" s="13"/>
      <c r="D54" s="13"/>
      <c r="E54" s="13"/>
      <c r="F54" s="15"/>
    </row>
    <row r="55" customFormat="false" ht="15" hidden="false" customHeight="false" outlineLevel="0" collapsed="false">
      <c r="A55" s="19"/>
      <c r="B55" s="18"/>
      <c r="C55" s="18"/>
      <c r="D55" s="18"/>
      <c r="E55" s="18"/>
      <c r="F55" s="20"/>
    </row>
    <row r="56" customFormat="false" ht="15" hidden="false" customHeight="false" outlineLevel="0" collapsed="false">
      <c r="A56" s="14"/>
      <c r="B56" s="13"/>
      <c r="C56" s="13"/>
      <c r="D56" s="13"/>
      <c r="E56" s="13"/>
      <c r="F56" s="15"/>
    </row>
    <row r="57" customFormat="false" ht="15" hidden="false" customHeight="false" outlineLevel="0" collapsed="false">
      <c r="A57" s="19"/>
      <c r="B57" s="18"/>
      <c r="C57" s="18"/>
      <c r="D57" s="18"/>
      <c r="E57" s="18"/>
      <c r="F57" s="20"/>
    </row>
    <row r="58" customFormat="false" ht="15" hidden="false" customHeight="false" outlineLevel="0" collapsed="false">
      <c r="A58" s="14"/>
      <c r="B58" s="13"/>
      <c r="C58" s="13"/>
      <c r="D58" s="13"/>
      <c r="E58" s="13"/>
      <c r="F58" s="15"/>
    </row>
    <row r="59" customFormat="false" ht="15" hidden="false" customHeight="false" outlineLevel="0" collapsed="false">
      <c r="A59" s="19"/>
      <c r="B59" s="18"/>
      <c r="C59" s="18"/>
      <c r="D59" s="18"/>
      <c r="E59" s="18"/>
      <c r="F59" s="20"/>
    </row>
    <row r="60" customFormat="false" ht="15" hidden="false" customHeight="false" outlineLevel="0" collapsed="false">
      <c r="A60" s="14"/>
      <c r="B60" s="13"/>
      <c r="C60" s="13"/>
      <c r="D60" s="13"/>
      <c r="E60" s="13"/>
      <c r="F60" s="15"/>
    </row>
    <row r="61" customFormat="false" ht="15" hidden="false" customHeight="false" outlineLevel="0" collapsed="false">
      <c r="A61" s="19"/>
      <c r="B61" s="18"/>
      <c r="C61" s="18"/>
      <c r="D61" s="18"/>
      <c r="E61" s="18"/>
      <c r="F61" s="20"/>
    </row>
    <row r="62" customFormat="false" ht="15" hidden="false" customHeight="false" outlineLevel="0" collapsed="false">
      <c r="A62" s="14"/>
      <c r="B62" s="13"/>
      <c r="C62" s="13"/>
      <c r="D62" s="13"/>
      <c r="E62" s="13"/>
      <c r="F62" s="15"/>
    </row>
    <row r="63" customFormat="false" ht="15" hidden="false" customHeight="false" outlineLevel="0" collapsed="false">
      <c r="A63" s="19"/>
      <c r="B63" s="18"/>
      <c r="C63" s="18"/>
      <c r="D63" s="18"/>
      <c r="E63" s="18"/>
      <c r="F63" s="20"/>
    </row>
    <row r="64" customFormat="false" ht="15" hidden="false" customHeight="false" outlineLevel="0" collapsed="false">
      <c r="A64" s="14"/>
      <c r="B64" s="13"/>
      <c r="C64" s="13"/>
      <c r="D64" s="13"/>
      <c r="E64" s="13"/>
      <c r="F64" s="15"/>
    </row>
    <row r="65" customFormat="false" ht="15" hidden="false" customHeight="false" outlineLevel="0" collapsed="false">
      <c r="A65" s="19"/>
      <c r="B65" s="18"/>
      <c r="C65" s="18"/>
      <c r="D65" s="18"/>
      <c r="E65" s="18"/>
      <c r="F65" s="20"/>
    </row>
    <row r="66" customFormat="false" ht="15" hidden="false" customHeight="false" outlineLevel="0" collapsed="false">
      <c r="A66" s="14"/>
      <c r="B66" s="13"/>
      <c r="C66" s="13"/>
      <c r="D66" s="13"/>
      <c r="E66" s="13"/>
      <c r="F66" s="15"/>
    </row>
    <row r="67" customFormat="false" ht="15" hidden="false" customHeight="false" outlineLevel="0" collapsed="false">
      <c r="A67" s="19"/>
      <c r="B67" s="18"/>
      <c r="C67" s="18"/>
      <c r="D67" s="18"/>
      <c r="E67" s="18"/>
      <c r="F67" s="20"/>
    </row>
    <row r="68" customFormat="false" ht="15" hidden="false" customHeight="false" outlineLevel="0" collapsed="false">
      <c r="A68" s="14"/>
      <c r="B68" s="13"/>
      <c r="C68" s="13"/>
      <c r="D68" s="13"/>
      <c r="E68" s="13"/>
      <c r="F68" s="15"/>
    </row>
    <row r="69" customFormat="false" ht="15" hidden="false" customHeight="false" outlineLevel="0" collapsed="false">
      <c r="A69" s="19"/>
      <c r="B69" s="18"/>
      <c r="C69" s="18"/>
      <c r="D69" s="18"/>
      <c r="E69" s="18"/>
      <c r="F69" s="20"/>
    </row>
    <row r="70" customFormat="false" ht="15" hidden="false" customHeight="false" outlineLevel="0" collapsed="false">
      <c r="A70" s="14"/>
      <c r="B70" s="13"/>
      <c r="C70" s="13"/>
      <c r="D70" s="13"/>
      <c r="E70" s="13"/>
      <c r="F70" s="15"/>
    </row>
    <row r="71" customFormat="false" ht="15" hidden="false" customHeight="false" outlineLevel="0" collapsed="false">
      <c r="A71" s="19"/>
      <c r="B71" s="18"/>
      <c r="C71" s="18"/>
      <c r="D71" s="18"/>
      <c r="E71" s="18"/>
      <c r="F71" s="20"/>
    </row>
    <row r="72" customFormat="false" ht="15" hidden="false" customHeight="false" outlineLevel="0" collapsed="false">
      <c r="A72" s="14"/>
      <c r="B72" s="13"/>
      <c r="C72" s="13"/>
      <c r="D72" s="13"/>
      <c r="E72" s="13"/>
      <c r="F72" s="15"/>
    </row>
    <row r="73" customFormat="false" ht="15" hidden="false" customHeight="false" outlineLevel="0" collapsed="false">
      <c r="A73" s="19"/>
      <c r="B73" s="18"/>
      <c r="C73" s="18"/>
      <c r="D73" s="18"/>
      <c r="E73" s="18"/>
      <c r="F73" s="20"/>
    </row>
    <row r="74" customFormat="false" ht="15" hidden="false" customHeight="false" outlineLevel="0" collapsed="false">
      <c r="A74" s="14"/>
      <c r="B74" s="13"/>
      <c r="C74" s="13"/>
      <c r="D74" s="13"/>
      <c r="E74" s="13"/>
      <c r="F74" s="15"/>
    </row>
    <row r="75" customFormat="false" ht="15" hidden="false" customHeight="false" outlineLevel="0" collapsed="false">
      <c r="A75" s="19"/>
      <c r="B75" s="18"/>
      <c r="C75" s="18"/>
      <c r="D75" s="18"/>
      <c r="E75" s="18"/>
      <c r="F75" s="20"/>
    </row>
    <row r="76" customFormat="false" ht="15" hidden="false" customHeight="false" outlineLevel="0" collapsed="false">
      <c r="A76" s="14"/>
      <c r="B76" s="13"/>
      <c r="C76" s="13"/>
      <c r="D76" s="13"/>
      <c r="E76" s="13"/>
      <c r="F76" s="15"/>
    </row>
    <row r="77" customFormat="false" ht="15" hidden="false" customHeight="false" outlineLevel="0" collapsed="false">
      <c r="A77" s="19"/>
      <c r="B77" s="18"/>
      <c r="C77" s="18"/>
      <c r="D77" s="18"/>
      <c r="E77" s="18"/>
      <c r="F77" s="20"/>
    </row>
    <row r="78" customFormat="false" ht="15" hidden="false" customHeight="false" outlineLevel="0" collapsed="false">
      <c r="A78" s="14"/>
      <c r="B78" s="13"/>
      <c r="C78" s="13"/>
      <c r="D78" s="13"/>
      <c r="E78" s="13"/>
      <c r="F78" s="15"/>
    </row>
    <row r="79" customFormat="false" ht="15" hidden="false" customHeight="false" outlineLevel="0" collapsed="false">
      <c r="A79" s="19"/>
      <c r="B79" s="18"/>
      <c r="C79" s="18"/>
      <c r="D79" s="18"/>
      <c r="E79" s="18"/>
      <c r="F79" s="20"/>
    </row>
    <row r="80" customFormat="false" ht="15" hidden="false" customHeight="false" outlineLevel="0" collapsed="false">
      <c r="A80" s="14"/>
      <c r="B80" s="13"/>
      <c r="C80" s="13"/>
      <c r="D80" s="13"/>
      <c r="E80" s="13"/>
      <c r="F80" s="15"/>
    </row>
    <row r="81" customFormat="false" ht="15" hidden="false" customHeight="false" outlineLevel="0" collapsed="false">
      <c r="A81" s="19"/>
      <c r="B81" s="18"/>
      <c r="C81" s="18"/>
      <c r="D81" s="18"/>
      <c r="E81" s="18"/>
      <c r="F81" s="20"/>
    </row>
    <row r="82" customFormat="false" ht="15" hidden="false" customHeight="false" outlineLevel="0" collapsed="false">
      <c r="A82" s="14"/>
      <c r="B82" s="13"/>
      <c r="C82" s="13"/>
      <c r="D82" s="13"/>
      <c r="E82" s="13"/>
      <c r="F82" s="15"/>
    </row>
    <row r="83" customFormat="false" ht="15" hidden="false" customHeight="false" outlineLevel="0" collapsed="false">
      <c r="A83" s="19"/>
      <c r="B83" s="18"/>
      <c r="C83" s="18"/>
      <c r="D83" s="18"/>
      <c r="E83" s="18"/>
      <c r="F83" s="20"/>
    </row>
    <row r="84" customFormat="false" ht="15" hidden="false" customHeight="false" outlineLevel="0" collapsed="false">
      <c r="A84" s="14"/>
      <c r="B84" s="13"/>
      <c r="C84" s="13"/>
      <c r="D84" s="13"/>
      <c r="E84" s="13"/>
      <c r="F84" s="15"/>
    </row>
    <row r="85" customFormat="false" ht="15" hidden="false" customHeight="false" outlineLevel="0" collapsed="false">
      <c r="A85" s="19"/>
      <c r="B85" s="18"/>
      <c r="C85" s="18"/>
      <c r="D85" s="18"/>
      <c r="E85" s="18"/>
      <c r="F85" s="20"/>
    </row>
    <row r="86" customFormat="false" ht="15" hidden="false" customHeight="false" outlineLevel="0" collapsed="false">
      <c r="A86" s="14"/>
      <c r="B86" s="13"/>
      <c r="C86" s="13"/>
      <c r="D86" s="13"/>
      <c r="E86" s="13"/>
      <c r="F86" s="15"/>
    </row>
    <row r="87" customFormat="false" ht="15" hidden="false" customHeight="false" outlineLevel="0" collapsed="false">
      <c r="A87" s="19"/>
      <c r="B87" s="18"/>
      <c r="C87" s="18"/>
      <c r="D87" s="18"/>
      <c r="E87" s="18"/>
      <c r="F87" s="20"/>
    </row>
    <row r="88" customFormat="false" ht="15" hidden="false" customHeight="false" outlineLevel="0" collapsed="false">
      <c r="A88" s="14"/>
      <c r="B88" s="13"/>
      <c r="C88" s="13"/>
      <c r="D88" s="13"/>
      <c r="E88" s="13"/>
      <c r="F88" s="15"/>
    </row>
    <row r="89" customFormat="false" ht="15" hidden="false" customHeight="false" outlineLevel="0" collapsed="false">
      <c r="A89" s="19"/>
      <c r="B89" s="18"/>
      <c r="C89" s="18"/>
      <c r="D89" s="18"/>
      <c r="E89" s="18"/>
      <c r="F89" s="20"/>
    </row>
    <row r="90" customFormat="false" ht="15" hidden="false" customHeight="false" outlineLevel="0" collapsed="false">
      <c r="A90" s="14"/>
      <c r="B90" s="13"/>
      <c r="C90" s="13"/>
      <c r="D90" s="13"/>
      <c r="E90" s="13"/>
      <c r="F90" s="15"/>
    </row>
    <row r="91" customFormat="false" ht="15" hidden="false" customHeight="false" outlineLevel="0" collapsed="false">
      <c r="A91" s="19"/>
      <c r="B91" s="18"/>
      <c r="C91" s="18"/>
      <c r="D91" s="18"/>
      <c r="E91" s="18"/>
      <c r="F91" s="20"/>
    </row>
    <row r="92" customFormat="false" ht="15" hidden="false" customHeight="false" outlineLevel="0" collapsed="false">
      <c r="A92" s="14"/>
      <c r="B92" s="13"/>
      <c r="C92" s="13"/>
      <c r="D92" s="13"/>
      <c r="E92" s="13"/>
      <c r="F92" s="15"/>
    </row>
    <row r="93" customFormat="false" ht="15" hidden="false" customHeight="false" outlineLevel="0" collapsed="false">
      <c r="A93" s="19"/>
      <c r="B93" s="18"/>
      <c r="C93" s="18"/>
      <c r="D93" s="18"/>
      <c r="E93" s="18"/>
      <c r="F93" s="20"/>
    </row>
    <row r="94" customFormat="false" ht="15" hidden="false" customHeight="false" outlineLevel="0" collapsed="false">
      <c r="A94" s="14"/>
      <c r="B94" s="13"/>
      <c r="C94" s="13"/>
      <c r="D94" s="13"/>
      <c r="E94" s="13"/>
      <c r="F94" s="15"/>
    </row>
    <row r="95" customFormat="false" ht="15" hidden="false" customHeight="false" outlineLevel="0" collapsed="false">
      <c r="A95" s="19"/>
      <c r="B95" s="18"/>
      <c r="C95" s="18"/>
      <c r="D95" s="18"/>
      <c r="E95" s="18"/>
      <c r="F95" s="20"/>
    </row>
    <row r="96" customFormat="false" ht="15" hidden="false" customHeight="false" outlineLevel="0" collapsed="false">
      <c r="A96" s="14"/>
      <c r="B96" s="13"/>
      <c r="C96" s="13"/>
      <c r="D96" s="13"/>
      <c r="E96" s="13"/>
      <c r="F96" s="15"/>
    </row>
    <row r="97" customFormat="false" ht="15" hidden="false" customHeight="false" outlineLevel="0" collapsed="false">
      <c r="A97" s="19"/>
      <c r="B97" s="18"/>
      <c r="C97" s="18"/>
      <c r="D97" s="18"/>
      <c r="E97" s="18"/>
      <c r="F97" s="20"/>
    </row>
    <row r="98" customFormat="false" ht="15" hidden="false" customHeight="false" outlineLevel="0" collapsed="false">
      <c r="A98" s="14"/>
      <c r="B98" s="13"/>
      <c r="C98" s="13"/>
      <c r="D98" s="13"/>
      <c r="E98" s="13"/>
      <c r="F98" s="15"/>
    </row>
    <row r="99" customFormat="false" ht="15" hidden="false" customHeight="false" outlineLevel="0" collapsed="false">
      <c r="A99" s="19"/>
      <c r="B99" s="18"/>
      <c r="C99" s="18"/>
      <c r="D99" s="18"/>
      <c r="E99" s="18"/>
      <c r="F99" s="20"/>
    </row>
    <row r="100" customFormat="false" ht="15" hidden="false" customHeight="false" outlineLevel="0" collapsed="false">
      <c r="A100" s="14"/>
      <c r="B100" s="13"/>
      <c r="C100" s="13"/>
      <c r="D100" s="13"/>
      <c r="E100" s="13"/>
      <c r="F100" s="15"/>
    </row>
    <row r="101" customFormat="false" ht="15" hidden="false" customHeight="false" outlineLevel="0" collapsed="false">
      <c r="A101" s="19"/>
      <c r="B101" s="18"/>
      <c r="C101" s="18"/>
      <c r="D101" s="18"/>
      <c r="E101" s="18"/>
      <c r="F101" s="20"/>
    </row>
    <row r="102" customFormat="false" ht="15" hidden="false" customHeight="false" outlineLevel="0" collapsed="false">
      <c r="A102" s="14"/>
      <c r="B102" s="13"/>
      <c r="C102" s="13"/>
      <c r="D102" s="13"/>
      <c r="E102" s="13"/>
      <c r="F102" s="15"/>
    </row>
    <row r="103" customFormat="false" ht="15" hidden="false" customHeight="false" outlineLevel="0" collapsed="false">
      <c r="A103" s="19"/>
      <c r="B103" s="18"/>
      <c r="C103" s="18"/>
      <c r="D103" s="18"/>
      <c r="E103" s="18"/>
      <c r="F103" s="20"/>
    </row>
    <row r="104" customFormat="false" ht="15" hidden="false" customHeight="false" outlineLevel="0" collapsed="false">
      <c r="A104" s="14"/>
      <c r="B104" s="13"/>
      <c r="C104" s="13"/>
      <c r="D104" s="13"/>
      <c r="E104" s="13"/>
      <c r="F104" s="15"/>
    </row>
    <row r="105" customFormat="false" ht="15" hidden="false" customHeight="false" outlineLevel="0" collapsed="false">
      <c r="A105" s="19"/>
      <c r="B105" s="18"/>
      <c r="C105" s="18"/>
      <c r="D105" s="18"/>
      <c r="E105" s="18"/>
      <c r="F105" s="20"/>
    </row>
    <row r="106" customFormat="false" ht="15" hidden="false" customHeight="false" outlineLevel="0" collapsed="false">
      <c r="A106" s="14"/>
      <c r="B106" s="13"/>
      <c r="C106" s="13"/>
      <c r="D106" s="13"/>
      <c r="E106" s="13"/>
      <c r="F106" s="15"/>
    </row>
    <row r="107" customFormat="false" ht="15" hidden="false" customHeight="false" outlineLevel="0" collapsed="false">
      <c r="A107" s="19"/>
      <c r="B107" s="18"/>
      <c r="C107" s="18"/>
      <c r="D107" s="18"/>
      <c r="E107" s="18"/>
      <c r="F107" s="20"/>
    </row>
    <row r="108" customFormat="false" ht="15" hidden="false" customHeight="false" outlineLevel="0" collapsed="false">
      <c r="A108" s="14"/>
      <c r="B108" s="13"/>
      <c r="C108" s="13"/>
      <c r="D108" s="13"/>
      <c r="E108" s="13"/>
      <c r="F108" s="15"/>
    </row>
    <row r="109" customFormat="false" ht="15" hidden="false" customHeight="false" outlineLevel="0" collapsed="false">
      <c r="A109" s="19"/>
      <c r="B109" s="18"/>
      <c r="C109" s="18"/>
      <c r="D109" s="18"/>
      <c r="E109" s="18"/>
      <c r="F109" s="20"/>
    </row>
    <row r="110" customFormat="false" ht="15" hidden="false" customHeight="false" outlineLevel="0" collapsed="false">
      <c r="A110" s="14"/>
      <c r="B110" s="13"/>
      <c r="C110" s="13"/>
      <c r="D110" s="13"/>
      <c r="E110" s="13"/>
      <c r="F110" s="15"/>
    </row>
    <row r="111" customFormat="false" ht="15" hidden="false" customHeight="false" outlineLevel="0" collapsed="false">
      <c r="A111" s="19"/>
      <c r="B111" s="18"/>
      <c r="C111" s="18"/>
      <c r="D111" s="18"/>
      <c r="E111" s="18"/>
      <c r="F111" s="20"/>
    </row>
    <row r="112" customFormat="false" ht="15" hidden="false" customHeight="false" outlineLevel="0" collapsed="false">
      <c r="A112" s="14"/>
      <c r="B112" s="13"/>
      <c r="C112" s="13"/>
      <c r="D112" s="13"/>
      <c r="E112" s="13"/>
      <c r="F112" s="15"/>
    </row>
    <row r="113" customFormat="false" ht="15" hidden="false" customHeight="false" outlineLevel="0" collapsed="false">
      <c r="A113" s="19"/>
      <c r="B113" s="18"/>
      <c r="C113" s="18"/>
      <c r="D113" s="18"/>
      <c r="E113" s="18"/>
      <c r="F113" s="20"/>
    </row>
    <row r="114" customFormat="false" ht="15" hidden="false" customHeight="false" outlineLevel="0" collapsed="false">
      <c r="A114" s="14"/>
      <c r="B114" s="13"/>
      <c r="C114" s="13"/>
      <c r="D114" s="13"/>
      <c r="E114" s="13"/>
      <c r="F114" s="15"/>
    </row>
    <row r="115" customFormat="false" ht="15" hidden="false" customHeight="false" outlineLevel="0" collapsed="false">
      <c r="A115" s="19"/>
      <c r="B115" s="18"/>
      <c r="C115" s="18"/>
      <c r="D115" s="18"/>
      <c r="E115" s="18"/>
      <c r="F115" s="20"/>
    </row>
    <row r="116" customFormat="false" ht="15" hidden="false" customHeight="false" outlineLevel="0" collapsed="false">
      <c r="A116" s="14"/>
      <c r="B116" s="13"/>
      <c r="C116" s="13"/>
      <c r="D116" s="13"/>
      <c r="E116" s="13"/>
      <c r="F116" s="15"/>
    </row>
    <row r="117" customFormat="false" ht="15" hidden="false" customHeight="false" outlineLevel="0" collapsed="false">
      <c r="A117" s="19"/>
      <c r="B117" s="18"/>
      <c r="C117" s="18"/>
      <c r="D117" s="18"/>
      <c r="E117" s="18"/>
      <c r="F117" s="20"/>
    </row>
    <row r="118" customFormat="false" ht="15" hidden="false" customHeight="false" outlineLevel="0" collapsed="false">
      <c r="A118" s="14"/>
      <c r="B118" s="13"/>
      <c r="C118" s="13"/>
      <c r="D118" s="13"/>
      <c r="E118" s="13"/>
      <c r="F118" s="15"/>
    </row>
    <row r="119" customFormat="false" ht="15" hidden="false" customHeight="false" outlineLevel="0" collapsed="false">
      <c r="A119" s="19"/>
      <c r="B119" s="18"/>
      <c r="C119" s="18"/>
      <c r="D119" s="18"/>
      <c r="E119" s="18"/>
      <c r="F119" s="20"/>
    </row>
    <row r="120" customFormat="false" ht="15" hidden="false" customHeight="false" outlineLevel="0" collapsed="false">
      <c r="A120" s="14"/>
      <c r="B120" s="13"/>
      <c r="C120" s="13"/>
      <c r="D120" s="13"/>
      <c r="E120" s="13"/>
      <c r="F120" s="15"/>
    </row>
    <row r="121" customFormat="false" ht="15" hidden="false" customHeight="false" outlineLevel="0" collapsed="false">
      <c r="A121" s="19"/>
      <c r="B121" s="18"/>
      <c r="C121" s="18"/>
      <c r="D121" s="18"/>
      <c r="E121" s="18"/>
      <c r="F121" s="20"/>
    </row>
    <row r="122" customFormat="false" ht="15" hidden="false" customHeight="false" outlineLevel="0" collapsed="false">
      <c r="A122" s="14"/>
      <c r="B122" s="13"/>
      <c r="C122" s="13"/>
      <c r="D122" s="13"/>
      <c r="E122" s="13"/>
      <c r="F122" s="15"/>
    </row>
    <row r="123" customFormat="false" ht="15" hidden="false" customHeight="false" outlineLevel="0" collapsed="false">
      <c r="A123" s="19"/>
      <c r="B123" s="18"/>
      <c r="C123" s="18"/>
      <c r="D123" s="18"/>
      <c r="E123" s="18"/>
      <c r="F123" s="20"/>
    </row>
    <row r="124" customFormat="false" ht="15" hidden="false" customHeight="false" outlineLevel="0" collapsed="false">
      <c r="A124" s="14"/>
      <c r="B124" s="13"/>
      <c r="C124" s="13"/>
      <c r="D124" s="13"/>
      <c r="E124" s="13"/>
      <c r="F124" s="15"/>
    </row>
    <row r="125" customFormat="false" ht="15" hidden="false" customHeight="false" outlineLevel="0" collapsed="false">
      <c r="A125" s="19"/>
      <c r="B125" s="18"/>
      <c r="C125" s="18"/>
      <c r="D125" s="18"/>
      <c r="E125" s="18"/>
      <c r="F125" s="20"/>
    </row>
    <row r="126" customFormat="false" ht="15" hidden="false" customHeight="false" outlineLevel="0" collapsed="false">
      <c r="A126" s="14"/>
      <c r="B126" s="13"/>
      <c r="C126" s="13"/>
      <c r="D126" s="13"/>
      <c r="E126" s="13"/>
      <c r="F126" s="15"/>
    </row>
    <row r="127" customFormat="false" ht="15" hidden="false" customHeight="false" outlineLevel="0" collapsed="false">
      <c r="A127" s="19"/>
      <c r="B127" s="18"/>
      <c r="C127" s="18"/>
      <c r="D127" s="18"/>
      <c r="E127" s="18"/>
      <c r="F127" s="20"/>
    </row>
    <row r="128" customFormat="false" ht="15" hidden="false" customHeight="false" outlineLevel="0" collapsed="false">
      <c r="A128" s="14"/>
      <c r="B128" s="13"/>
      <c r="C128" s="13"/>
      <c r="D128" s="13"/>
      <c r="E128" s="13"/>
      <c r="F128" s="15"/>
    </row>
    <row r="129" customFormat="false" ht="15" hidden="false" customHeight="false" outlineLevel="0" collapsed="false">
      <c r="A129" s="19"/>
      <c r="B129" s="18"/>
      <c r="C129" s="18"/>
      <c r="D129" s="18"/>
      <c r="E129" s="18"/>
      <c r="F129" s="20"/>
    </row>
    <row r="130" customFormat="false" ht="15" hidden="false" customHeight="false" outlineLevel="0" collapsed="false">
      <c r="A130" s="14"/>
      <c r="B130" s="13"/>
      <c r="C130" s="13"/>
      <c r="D130" s="13"/>
      <c r="E130" s="13"/>
      <c r="F130" s="15"/>
    </row>
    <row r="131" customFormat="false" ht="15" hidden="false" customHeight="false" outlineLevel="0" collapsed="false">
      <c r="A131" s="19"/>
      <c r="B131" s="18"/>
      <c r="C131" s="18"/>
      <c r="D131" s="18"/>
      <c r="E131" s="18"/>
      <c r="F131" s="20"/>
    </row>
    <row r="132" customFormat="false" ht="15" hidden="false" customHeight="false" outlineLevel="0" collapsed="false">
      <c r="A132" s="14"/>
      <c r="B132" s="13"/>
      <c r="C132" s="13"/>
      <c r="D132" s="13"/>
      <c r="E132" s="13"/>
      <c r="F132" s="15"/>
    </row>
    <row r="133" customFormat="false" ht="15" hidden="false" customHeight="false" outlineLevel="0" collapsed="false">
      <c r="A133" s="19"/>
      <c r="B133" s="18"/>
      <c r="C133" s="18"/>
      <c r="D133" s="18"/>
      <c r="E133" s="18"/>
      <c r="F133" s="20"/>
    </row>
    <row r="134" customFormat="false" ht="15" hidden="false" customHeight="false" outlineLevel="0" collapsed="false">
      <c r="A134" s="14"/>
      <c r="B134" s="13"/>
      <c r="C134" s="13"/>
      <c r="D134" s="13"/>
      <c r="E134" s="13"/>
      <c r="F134" s="15"/>
    </row>
    <row r="135" customFormat="false" ht="15" hidden="false" customHeight="false" outlineLevel="0" collapsed="false">
      <c r="A135" s="19"/>
      <c r="B135" s="18"/>
      <c r="C135" s="18"/>
      <c r="D135" s="18"/>
      <c r="E135" s="18"/>
      <c r="F135" s="20"/>
    </row>
    <row r="136" customFormat="false" ht="15" hidden="false" customHeight="false" outlineLevel="0" collapsed="false">
      <c r="A136" s="14"/>
      <c r="B136" s="13"/>
      <c r="C136" s="13"/>
      <c r="D136" s="13"/>
      <c r="E136" s="13"/>
      <c r="F136" s="15"/>
    </row>
    <row r="137" customFormat="false" ht="15" hidden="false" customHeight="false" outlineLevel="0" collapsed="false">
      <c r="A137" s="19"/>
      <c r="B137" s="18"/>
      <c r="C137" s="18"/>
      <c r="D137" s="18"/>
      <c r="E137" s="18"/>
      <c r="F137" s="20"/>
    </row>
    <row r="138" customFormat="false" ht="15" hidden="false" customHeight="false" outlineLevel="0" collapsed="false">
      <c r="A138" s="14"/>
      <c r="B138" s="13"/>
      <c r="C138" s="13"/>
      <c r="D138" s="13"/>
      <c r="E138" s="13"/>
      <c r="F138" s="15"/>
    </row>
    <row r="139" customFormat="false" ht="15" hidden="false" customHeight="false" outlineLevel="0" collapsed="false">
      <c r="A139" s="19"/>
      <c r="B139" s="18"/>
      <c r="C139" s="18"/>
      <c r="D139" s="18"/>
      <c r="E139" s="18"/>
      <c r="F139" s="20"/>
    </row>
    <row r="140" customFormat="false" ht="15" hidden="false" customHeight="false" outlineLevel="0" collapsed="false">
      <c r="A140" s="14"/>
      <c r="B140" s="13"/>
      <c r="C140" s="13"/>
      <c r="D140" s="13"/>
      <c r="E140" s="13"/>
      <c r="F140" s="15"/>
    </row>
    <row r="141" customFormat="false" ht="15" hidden="false" customHeight="false" outlineLevel="0" collapsed="false">
      <c r="A141" s="19"/>
      <c r="B141" s="18"/>
      <c r="C141" s="18"/>
      <c r="D141" s="18"/>
      <c r="E141" s="18"/>
      <c r="F141" s="20"/>
    </row>
    <row r="142" customFormat="false" ht="15" hidden="false" customHeight="false" outlineLevel="0" collapsed="false">
      <c r="A142" s="14"/>
      <c r="B142" s="13"/>
      <c r="C142" s="13"/>
      <c r="D142" s="13"/>
      <c r="E142" s="13"/>
      <c r="F142" s="15"/>
    </row>
    <row r="143" customFormat="false" ht="15" hidden="false" customHeight="false" outlineLevel="0" collapsed="false">
      <c r="A143" s="19"/>
      <c r="B143" s="18"/>
      <c r="C143" s="18"/>
      <c r="D143" s="18"/>
      <c r="E143" s="18"/>
      <c r="F143" s="20"/>
    </row>
    <row r="144" customFormat="false" ht="15" hidden="false" customHeight="false" outlineLevel="0" collapsed="false">
      <c r="A144" s="14"/>
      <c r="B144" s="13"/>
      <c r="C144" s="13"/>
      <c r="D144" s="13"/>
      <c r="E144" s="13"/>
      <c r="F144" s="15"/>
    </row>
    <row r="145" customFormat="false" ht="15" hidden="false" customHeight="false" outlineLevel="0" collapsed="false">
      <c r="A145" s="19"/>
      <c r="B145" s="18"/>
      <c r="C145" s="18"/>
      <c r="D145" s="18"/>
      <c r="E145" s="18"/>
      <c r="F145" s="20"/>
    </row>
    <row r="146" customFormat="false" ht="15" hidden="false" customHeight="false" outlineLevel="0" collapsed="false">
      <c r="A146" s="14"/>
      <c r="B146" s="13"/>
      <c r="C146" s="13"/>
      <c r="D146" s="13"/>
      <c r="E146" s="13"/>
      <c r="F146" s="15"/>
    </row>
    <row r="147" customFormat="false" ht="15" hidden="false" customHeight="false" outlineLevel="0" collapsed="false">
      <c r="A147" s="19"/>
      <c r="B147" s="18"/>
      <c r="C147" s="18"/>
      <c r="D147" s="18"/>
      <c r="E147" s="18"/>
      <c r="F147" s="20"/>
    </row>
    <row r="148" customFormat="false" ht="15" hidden="false" customHeight="false" outlineLevel="0" collapsed="false">
      <c r="A148" s="14"/>
      <c r="B148" s="13"/>
      <c r="C148" s="13"/>
      <c r="D148" s="13"/>
      <c r="E148" s="13"/>
      <c r="F148" s="15"/>
    </row>
    <row r="149" customFormat="false" ht="15" hidden="false" customHeight="false" outlineLevel="0" collapsed="false">
      <c r="A149" s="19"/>
      <c r="B149" s="18"/>
      <c r="C149" s="18"/>
      <c r="D149" s="18"/>
      <c r="E149" s="18"/>
      <c r="F149" s="20"/>
    </row>
    <row r="150" customFormat="false" ht="15" hidden="false" customHeight="false" outlineLevel="0" collapsed="false">
      <c r="A150" s="14"/>
      <c r="B150" s="13"/>
      <c r="C150" s="13"/>
      <c r="D150" s="13"/>
      <c r="E150" s="13"/>
      <c r="F150" s="15"/>
    </row>
    <row r="151" customFormat="false" ht="15" hidden="false" customHeight="false" outlineLevel="0" collapsed="false">
      <c r="A151" s="19"/>
      <c r="B151" s="18"/>
      <c r="C151" s="18"/>
      <c r="D151" s="18"/>
      <c r="E151" s="18"/>
      <c r="F151" s="20"/>
    </row>
    <row r="152" customFormat="false" ht="15" hidden="false" customHeight="false" outlineLevel="0" collapsed="false">
      <c r="A152" s="14"/>
      <c r="B152" s="13"/>
      <c r="C152" s="13"/>
      <c r="D152" s="13"/>
      <c r="E152" s="13"/>
      <c r="F152" s="15"/>
    </row>
    <row r="153" customFormat="false" ht="15" hidden="false" customHeight="false" outlineLevel="0" collapsed="false">
      <c r="A153" s="19"/>
      <c r="B153" s="18"/>
      <c r="C153" s="18"/>
      <c r="D153" s="18"/>
      <c r="E153" s="18"/>
      <c r="F153" s="20"/>
    </row>
    <row r="154" customFormat="false" ht="15" hidden="false" customHeight="false" outlineLevel="0" collapsed="false">
      <c r="A154" s="14"/>
      <c r="B154" s="13"/>
      <c r="C154" s="13"/>
      <c r="D154" s="13"/>
      <c r="E154" s="13"/>
      <c r="F154" s="15"/>
    </row>
    <row r="155" customFormat="false" ht="15" hidden="false" customHeight="false" outlineLevel="0" collapsed="false">
      <c r="A155" s="19"/>
      <c r="B155" s="18"/>
      <c r="C155" s="18"/>
      <c r="D155" s="18"/>
      <c r="E155" s="18"/>
      <c r="F155" s="20"/>
    </row>
    <row r="156" customFormat="false" ht="15" hidden="false" customHeight="false" outlineLevel="0" collapsed="false">
      <c r="A156" s="14"/>
      <c r="B156" s="13"/>
      <c r="C156" s="13"/>
      <c r="D156" s="13"/>
      <c r="E156" s="13"/>
      <c r="F156" s="15"/>
    </row>
    <row r="157" customFormat="false" ht="15" hidden="false" customHeight="false" outlineLevel="0" collapsed="false">
      <c r="A157" s="19"/>
      <c r="B157" s="18"/>
      <c r="C157" s="18"/>
      <c r="D157" s="18"/>
      <c r="E157" s="18"/>
      <c r="F157" s="20"/>
    </row>
    <row r="158" customFormat="false" ht="15" hidden="false" customHeight="false" outlineLevel="0" collapsed="false">
      <c r="A158" s="14"/>
      <c r="B158" s="13"/>
      <c r="C158" s="13"/>
      <c r="D158" s="13"/>
      <c r="E158" s="13"/>
      <c r="F158" s="15"/>
    </row>
    <row r="159" customFormat="false" ht="15" hidden="false" customHeight="false" outlineLevel="0" collapsed="false">
      <c r="A159" s="19"/>
      <c r="B159" s="18"/>
      <c r="C159" s="18"/>
      <c r="D159" s="18"/>
      <c r="E159" s="18"/>
      <c r="F159" s="20"/>
    </row>
    <row r="160" customFormat="false" ht="15" hidden="false" customHeight="false" outlineLevel="0" collapsed="false">
      <c r="A160" s="14"/>
      <c r="B160" s="13"/>
      <c r="C160" s="13"/>
      <c r="D160" s="13"/>
      <c r="E160" s="13"/>
      <c r="F160" s="15"/>
    </row>
    <row r="161" customFormat="false" ht="15" hidden="false" customHeight="false" outlineLevel="0" collapsed="false">
      <c r="A161" s="19"/>
      <c r="B161" s="18"/>
      <c r="C161" s="18"/>
      <c r="D161" s="18"/>
      <c r="E161" s="18"/>
      <c r="F161" s="20"/>
    </row>
    <row r="162" customFormat="false" ht="15" hidden="false" customHeight="false" outlineLevel="0" collapsed="false">
      <c r="A162" s="14"/>
      <c r="B162" s="13"/>
      <c r="C162" s="13"/>
      <c r="D162" s="13"/>
      <c r="E162" s="13"/>
      <c r="F162" s="15"/>
    </row>
    <row r="163" customFormat="false" ht="15" hidden="false" customHeight="false" outlineLevel="0" collapsed="false">
      <c r="A163" s="19"/>
      <c r="B163" s="18"/>
      <c r="C163" s="18"/>
      <c r="D163" s="18"/>
      <c r="E163" s="18"/>
      <c r="F163" s="20"/>
    </row>
    <row r="164" customFormat="false" ht="15" hidden="false" customHeight="false" outlineLevel="0" collapsed="false">
      <c r="A164" s="14"/>
      <c r="B164" s="13"/>
      <c r="C164" s="13"/>
      <c r="D164" s="13"/>
      <c r="E164" s="13"/>
      <c r="F164" s="15"/>
    </row>
    <row r="165" customFormat="false" ht="15" hidden="false" customHeight="false" outlineLevel="0" collapsed="false">
      <c r="A165" s="19"/>
      <c r="B165" s="18"/>
      <c r="C165" s="18"/>
      <c r="D165" s="18"/>
      <c r="E165" s="18"/>
      <c r="F165" s="20"/>
    </row>
    <row r="166" customFormat="false" ht="15" hidden="false" customHeight="false" outlineLevel="0" collapsed="false">
      <c r="A166" s="14"/>
      <c r="B166" s="13"/>
      <c r="C166" s="13"/>
      <c r="D166" s="13"/>
      <c r="E166" s="13"/>
      <c r="F166" s="15"/>
    </row>
    <row r="167" customFormat="false" ht="15" hidden="false" customHeight="false" outlineLevel="0" collapsed="false">
      <c r="A167" s="19"/>
      <c r="B167" s="18"/>
      <c r="C167" s="18"/>
      <c r="D167" s="18"/>
      <c r="E167" s="18"/>
      <c r="F167" s="20"/>
    </row>
    <row r="168" customFormat="false" ht="15" hidden="false" customHeight="false" outlineLevel="0" collapsed="false">
      <c r="A168" s="14"/>
      <c r="B168" s="13"/>
      <c r="C168" s="13"/>
      <c r="D168" s="13"/>
      <c r="E168" s="13"/>
      <c r="F168" s="15"/>
    </row>
    <row r="169" customFormat="false" ht="15" hidden="false" customHeight="false" outlineLevel="0" collapsed="false">
      <c r="A169" s="19"/>
      <c r="B169" s="18"/>
      <c r="C169" s="18"/>
      <c r="D169" s="18"/>
      <c r="E169" s="18"/>
      <c r="F169" s="20"/>
    </row>
    <row r="170" customFormat="false" ht="15" hidden="false" customHeight="false" outlineLevel="0" collapsed="false">
      <c r="A170" s="14"/>
      <c r="B170" s="13"/>
      <c r="C170" s="13"/>
      <c r="D170" s="13"/>
      <c r="E170" s="13"/>
      <c r="F170" s="15"/>
    </row>
    <row r="171" customFormat="false" ht="15" hidden="false" customHeight="false" outlineLevel="0" collapsed="false">
      <c r="A171" s="19"/>
      <c r="B171" s="18"/>
      <c r="C171" s="18"/>
      <c r="D171" s="18"/>
      <c r="E171" s="18"/>
      <c r="F171" s="20"/>
    </row>
    <row r="172" customFormat="false" ht="15" hidden="false" customHeight="false" outlineLevel="0" collapsed="false">
      <c r="A172" s="14"/>
      <c r="B172" s="13"/>
      <c r="C172" s="13"/>
      <c r="D172" s="13"/>
      <c r="E172" s="13"/>
      <c r="F172" s="15"/>
    </row>
    <row r="173" customFormat="false" ht="15" hidden="false" customHeight="false" outlineLevel="0" collapsed="false">
      <c r="A173" s="19"/>
      <c r="B173" s="18"/>
      <c r="C173" s="18"/>
      <c r="D173" s="18"/>
      <c r="E173" s="18"/>
      <c r="F173" s="20"/>
    </row>
    <row r="174" customFormat="false" ht="15" hidden="false" customHeight="false" outlineLevel="0" collapsed="false">
      <c r="A174" s="14"/>
      <c r="B174" s="13"/>
      <c r="C174" s="13"/>
      <c r="D174" s="13"/>
      <c r="E174" s="13"/>
      <c r="F174" s="15"/>
    </row>
    <row r="175" customFormat="false" ht="15" hidden="false" customHeight="false" outlineLevel="0" collapsed="false">
      <c r="A175" s="19"/>
      <c r="B175" s="18"/>
      <c r="C175" s="18"/>
      <c r="D175" s="18"/>
      <c r="E175" s="18"/>
      <c r="F175" s="20"/>
    </row>
    <row r="176" customFormat="false" ht="15" hidden="false" customHeight="false" outlineLevel="0" collapsed="false">
      <c r="A176" s="14"/>
      <c r="B176" s="13"/>
      <c r="C176" s="13"/>
      <c r="D176" s="13"/>
      <c r="E176" s="13"/>
      <c r="F176" s="15"/>
    </row>
    <row r="177" customFormat="false" ht="15" hidden="false" customHeight="false" outlineLevel="0" collapsed="false">
      <c r="A177" s="19"/>
      <c r="B177" s="18"/>
      <c r="C177" s="18"/>
      <c r="D177" s="18"/>
      <c r="E177" s="18"/>
      <c r="F177" s="20"/>
    </row>
    <row r="178" customFormat="false" ht="15" hidden="false" customHeight="false" outlineLevel="0" collapsed="false">
      <c r="A178" s="14"/>
      <c r="B178" s="13"/>
      <c r="C178" s="13"/>
      <c r="D178" s="13"/>
      <c r="E178" s="13"/>
      <c r="F178" s="15"/>
    </row>
    <row r="179" customFormat="false" ht="15" hidden="false" customHeight="false" outlineLevel="0" collapsed="false">
      <c r="A179" s="19"/>
      <c r="B179" s="18"/>
      <c r="C179" s="18"/>
      <c r="D179" s="18"/>
      <c r="E179" s="18"/>
      <c r="F179" s="20"/>
    </row>
    <row r="180" customFormat="false" ht="15" hidden="false" customHeight="false" outlineLevel="0" collapsed="false">
      <c r="A180" s="14"/>
      <c r="B180" s="13"/>
      <c r="C180" s="13"/>
      <c r="D180" s="13"/>
      <c r="E180" s="13"/>
      <c r="F180" s="15"/>
    </row>
    <row r="181" customFormat="false" ht="15" hidden="false" customHeight="false" outlineLevel="0" collapsed="false">
      <c r="A181" s="19"/>
      <c r="B181" s="18"/>
      <c r="C181" s="18"/>
      <c r="D181" s="18"/>
      <c r="E181" s="18"/>
      <c r="F181" s="20"/>
    </row>
    <row r="182" customFormat="false" ht="15" hidden="false" customHeight="false" outlineLevel="0" collapsed="false">
      <c r="A182" s="14"/>
      <c r="B182" s="13"/>
      <c r="C182" s="13"/>
      <c r="D182" s="13"/>
      <c r="E182" s="13"/>
      <c r="F182" s="15"/>
    </row>
    <row r="183" customFormat="false" ht="15" hidden="false" customHeight="false" outlineLevel="0" collapsed="false">
      <c r="A183" s="19"/>
      <c r="B183" s="18"/>
      <c r="C183" s="18"/>
      <c r="D183" s="18"/>
      <c r="E183" s="18"/>
      <c r="F183" s="20"/>
    </row>
    <row r="184" customFormat="false" ht="15" hidden="false" customHeight="false" outlineLevel="0" collapsed="false">
      <c r="A184" s="14"/>
      <c r="B184" s="13"/>
      <c r="C184" s="13"/>
      <c r="D184" s="13"/>
      <c r="E184" s="13"/>
      <c r="F184" s="15"/>
    </row>
    <row r="185" customFormat="false" ht="15" hidden="false" customHeight="false" outlineLevel="0" collapsed="false">
      <c r="A185" s="19"/>
      <c r="B185" s="18"/>
      <c r="C185" s="18"/>
      <c r="D185" s="18"/>
      <c r="E185" s="18"/>
      <c r="F185" s="20"/>
    </row>
    <row r="186" customFormat="false" ht="15" hidden="false" customHeight="false" outlineLevel="0" collapsed="false">
      <c r="A186" s="14"/>
      <c r="B186" s="13"/>
      <c r="C186" s="13"/>
      <c r="D186" s="13"/>
      <c r="E186" s="13"/>
      <c r="F186" s="15"/>
    </row>
    <row r="187" customFormat="false" ht="15" hidden="false" customHeight="false" outlineLevel="0" collapsed="false">
      <c r="A187" s="19"/>
      <c r="B187" s="18"/>
      <c r="C187" s="18"/>
      <c r="D187" s="18"/>
      <c r="E187" s="18"/>
      <c r="F187" s="20"/>
    </row>
    <row r="188" customFormat="false" ht="15" hidden="false" customHeight="false" outlineLevel="0" collapsed="false">
      <c r="A188" s="14"/>
      <c r="B188" s="13"/>
      <c r="C188" s="13"/>
      <c r="D188" s="13"/>
      <c r="E188" s="13"/>
      <c r="F188" s="15"/>
    </row>
    <row r="189" customFormat="false" ht="15" hidden="false" customHeight="false" outlineLevel="0" collapsed="false">
      <c r="A189" s="19"/>
      <c r="B189" s="18"/>
      <c r="C189" s="18"/>
      <c r="D189" s="18"/>
      <c r="E189" s="18"/>
      <c r="F189" s="20"/>
    </row>
    <row r="190" customFormat="false" ht="15" hidden="false" customHeight="false" outlineLevel="0" collapsed="false">
      <c r="A190" s="14"/>
      <c r="B190" s="13"/>
      <c r="C190" s="13"/>
      <c r="D190" s="13"/>
      <c r="E190" s="13"/>
      <c r="F190" s="15"/>
    </row>
    <row r="191" customFormat="false" ht="15" hidden="false" customHeight="false" outlineLevel="0" collapsed="false">
      <c r="A191" s="19"/>
      <c r="B191" s="18"/>
      <c r="C191" s="18"/>
      <c r="D191" s="18"/>
      <c r="E191" s="18"/>
      <c r="F191" s="20"/>
    </row>
    <row r="192" customFormat="false" ht="15" hidden="false" customHeight="false" outlineLevel="0" collapsed="false">
      <c r="A192" s="14"/>
      <c r="B192" s="13"/>
      <c r="C192" s="13"/>
      <c r="D192" s="13"/>
      <c r="E192" s="13"/>
      <c r="F192" s="15"/>
    </row>
    <row r="193" customFormat="false" ht="15" hidden="false" customHeight="false" outlineLevel="0" collapsed="false">
      <c r="A193" s="19"/>
      <c r="B193" s="18"/>
      <c r="C193" s="18"/>
      <c r="D193" s="18"/>
      <c r="E193" s="18"/>
      <c r="F193" s="20"/>
    </row>
    <row r="194" customFormat="false" ht="15" hidden="false" customHeight="false" outlineLevel="0" collapsed="false">
      <c r="A194" s="14"/>
      <c r="B194" s="13"/>
      <c r="C194" s="13"/>
      <c r="D194" s="13"/>
      <c r="E194" s="13"/>
      <c r="F194" s="15"/>
    </row>
    <row r="195" customFormat="false" ht="15" hidden="false" customHeight="false" outlineLevel="0" collapsed="false">
      <c r="A195" s="19"/>
      <c r="B195" s="18"/>
      <c r="C195" s="18"/>
      <c r="D195" s="18"/>
      <c r="E195" s="18"/>
      <c r="F195" s="20"/>
    </row>
    <row r="196" customFormat="false" ht="15" hidden="false" customHeight="false" outlineLevel="0" collapsed="false">
      <c r="A196" s="14"/>
      <c r="B196" s="13"/>
      <c r="C196" s="13"/>
      <c r="D196" s="13"/>
      <c r="E196" s="13"/>
      <c r="F196" s="15"/>
    </row>
    <row r="197" customFormat="false" ht="15" hidden="false" customHeight="false" outlineLevel="0" collapsed="false">
      <c r="A197" s="19"/>
      <c r="B197" s="18"/>
      <c r="C197" s="18"/>
      <c r="D197" s="18"/>
      <c r="E197" s="18"/>
      <c r="F197" s="20"/>
    </row>
    <row r="198" customFormat="false" ht="15" hidden="false" customHeight="false" outlineLevel="0" collapsed="false">
      <c r="A198" s="14"/>
      <c r="B198" s="13"/>
      <c r="C198" s="13"/>
      <c r="D198" s="13"/>
      <c r="E198" s="13"/>
      <c r="F198" s="15"/>
    </row>
    <row r="199" customFormat="false" ht="15" hidden="false" customHeight="false" outlineLevel="0" collapsed="false">
      <c r="A199" s="19"/>
      <c r="B199" s="18"/>
      <c r="C199" s="18"/>
      <c r="D199" s="18"/>
      <c r="E199" s="18"/>
      <c r="F199" s="20"/>
    </row>
    <row r="200" customFormat="false" ht="15" hidden="false" customHeight="false" outlineLevel="0" collapsed="false">
      <c r="A200" s="14"/>
      <c r="B200" s="13"/>
      <c r="C200" s="13"/>
      <c r="D200" s="13"/>
      <c r="E200" s="13"/>
      <c r="F200" s="15"/>
    </row>
    <row r="201" customFormat="false" ht="15" hidden="false" customHeight="false" outlineLevel="0" collapsed="false">
      <c r="A201" s="19"/>
      <c r="B201" s="18"/>
      <c r="C201" s="18"/>
      <c r="D201" s="18"/>
      <c r="E201" s="18"/>
      <c r="F201" s="20"/>
    </row>
    <row r="202" customFormat="false" ht="15" hidden="false" customHeight="false" outlineLevel="0" collapsed="false">
      <c r="A202" s="14"/>
      <c r="B202" s="13"/>
      <c r="C202" s="13"/>
      <c r="D202" s="13"/>
      <c r="E202" s="13"/>
      <c r="F202" s="15"/>
    </row>
    <row r="203" customFormat="false" ht="15" hidden="false" customHeight="false" outlineLevel="0" collapsed="false">
      <c r="A203" s="19"/>
      <c r="B203" s="18"/>
      <c r="C203" s="18"/>
      <c r="D203" s="18"/>
      <c r="E203" s="18"/>
      <c r="F203" s="20"/>
    </row>
    <row r="204" customFormat="false" ht="15" hidden="false" customHeight="false" outlineLevel="0" collapsed="false">
      <c r="A204" s="14"/>
      <c r="B204" s="13"/>
      <c r="C204" s="13"/>
      <c r="D204" s="13"/>
      <c r="E204" s="13"/>
      <c r="F204" s="15"/>
    </row>
    <row r="205" customFormat="false" ht="15" hidden="false" customHeight="false" outlineLevel="0" collapsed="false">
      <c r="A205" s="19"/>
      <c r="B205" s="18"/>
      <c r="C205" s="18"/>
      <c r="D205" s="18"/>
      <c r="E205" s="18"/>
      <c r="F205" s="20"/>
    </row>
    <row r="206" customFormat="false" ht="15" hidden="false" customHeight="false" outlineLevel="0" collapsed="false">
      <c r="A206" s="14"/>
      <c r="B206" s="13"/>
      <c r="C206" s="13"/>
      <c r="D206" s="13"/>
      <c r="E206" s="13"/>
      <c r="F206" s="15"/>
    </row>
    <row r="207" customFormat="false" ht="15" hidden="false" customHeight="false" outlineLevel="0" collapsed="false">
      <c r="A207" s="19"/>
      <c r="B207" s="18"/>
      <c r="C207" s="18"/>
      <c r="D207" s="18"/>
      <c r="E207" s="18"/>
      <c r="F207" s="20"/>
    </row>
    <row r="208" customFormat="false" ht="15" hidden="false" customHeight="false" outlineLevel="0" collapsed="false">
      <c r="A208" s="14"/>
      <c r="B208" s="13"/>
      <c r="C208" s="13"/>
      <c r="D208" s="13"/>
      <c r="E208" s="13"/>
      <c r="F208" s="15"/>
    </row>
    <row r="209" customFormat="false" ht="15" hidden="false" customHeight="false" outlineLevel="0" collapsed="false">
      <c r="A209" s="19"/>
      <c r="B209" s="18"/>
      <c r="C209" s="18"/>
      <c r="D209" s="18"/>
      <c r="E209" s="18"/>
      <c r="F209" s="20"/>
    </row>
    <row r="210" customFormat="false" ht="15" hidden="false" customHeight="false" outlineLevel="0" collapsed="false">
      <c r="A210" s="14"/>
      <c r="B210" s="13"/>
      <c r="C210" s="13"/>
      <c r="D210" s="13"/>
      <c r="E210" s="13"/>
      <c r="F210" s="15"/>
    </row>
    <row r="211" customFormat="false" ht="15" hidden="false" customHeight="false" outlineLevel="0" collapsed="false">
      <c r="A211" s="19"/>
      <c r="B211" s="18"/>
      <c r="C211" s="18"/>
      <c r="D211" s="18"/>
      <c r="E211" s="18"/>
      <c r="F211" s="20"/>
    </row>
    <row r="212" customFormat="false" ht="15" hidden="false" customHeight="false" outlineLevel="0" collapsed="false">
      <c r="A212" s="14"/>
      <c r="B212" s="13"/>
      <c r="C212" s="13"/>
      <c r="D212" s="13"/>
      <c r="E212" s="13"/>
      <c r="F212" s="15"/>
    </row>
    <row r="213" customFormat="false" ht="15" hidden="false" customHeight="false" outlineLevel="0" collapsed="false">
      <c r="A213" s="19"/>
      <c r="B213" s="18"/>
      <c r="C213" s="18"/>
      <c r="D213" s="18"/>
      <c r="E213" s="18"/>
      <c r="F213" s="20"/>
    </row>
    <row r="214" customFormat="false" ht="15" hidden="false" customHeight="false" outlineLevel="0" collapsed="false">
      <c r="A214" s="14"/>
      <c r="B214" s="13"/>
      <c r="C214" s="13"/>
      <c r="D214" s="13"/>
      <c r="E214" s="13"/>
      <c r="F214" s="15"/>
    </row>
    <row r="215" customFormat="false" ht="15" hidden="false" customHeight="false" outlineLevel="0" collapsed="false">
      <c r="A215" s="19"/>
      <c r="B215" s="18"/>
      <c r="C215" s="18"/>
      <c r="D215" s="18"/>
      <c r="E215" s="18"/>
      <c r="F215" s="20"/>
    </row>
    <row r="216" customFormat="false" ht="15" hidden="false" customHeight="false" outlineLevel="0" collapsed="false">
      <c r="A216" s="14"/>
      <c r="B216" s="13"/>
      <c r="C216" s="13"/>
      <c r="D216" s="13"/>
      <c r="E216" s="13"/>
      <c r="F216" s="15"/>
    </row>
    <row r="217" customFormat="false" ht="15" hidden="false" customHeight="false" outlineLevel="0" collapsed="false">
      <c r="A217" s="19"/>
      <c r="B217" s="18"/>
      <c r="C217" s="18"/>
      <c r="D217" s="18"/>
      <c r="E217" s="18"/>
      <c r="F217" s="20"/>
    </row>
    <row r="218" customFormat="false" ht="15" hidden="false" customHeight="false" outlineLevel="0" collapsed="false">
      <c r="A218" s="14"/>
      <c r="B218" s="13"/>
      <c r="C218" s="13"/>
      <c r="D218" s="13"/>
      <c r="E218" s="13"/>
      <c r="F218" s="15"/>
    </row>
    <row r="219" customFormat="false" ht="15" hidden="false" customHeight="false" outlineLevel="0" collapsed="false">
      <c r="A219" s="19"/>
      <c r="B219" s="18"/>
      <c r="C219" s="18"/>
      <c r="D219" s="18"/>
      <c r="E219" s="18"/>
      <c r="F219" s="20"/>
    </row>
    <row r="220" customFormat="false" ht="15" hidden="false" customHeight="false" outlineLevel="0" collapsed="false">
      <c r="A220" s="14"/>
      <c r="B220" s="13"/>
      <c r="C220" s="13"/>
      <c r="D220" s="13"/>
      <c r="E220" s="13"/>
      <c r="F220" s="15"/>
    </row>
    <row r="221" customFormat="false" ht="15" hidden="false" customHeight="false" outlineLevel="0" collapsed="false">
      <c r="A221" s="19"/>
      <c r="B221" s="18"/>
      <c r="C221" s="18"/>
      <c r="D221" s="18"/>
      <c r="E221" s="18"/>
      <c r="F221" s="20"/>
    </row>
    <row r="222" customFormat="false" ht="15" hidden="false" customHeight="false" outlineLevel="0" collapsed="false">
      <c r="A222" s="14"/>
      <c r="B222" s="13"/>
      <c r="C222" s="13"/>
      <c r="D222" s="13"/>
      <c r="E222" s="13"/>
      <c r="F222" s="15"/>
    </row>
    <row r="223" customFormat="false" ht="15" hidden="false" customHeight="false" outlineLevel="0" collapsed="false">
      <c r="A223" s="19"/>
      <c r="B223" s="18"/>
      <c r="C223" s="18"/>
      <c r="D223" s="18"/>
      <c r="E223" s="18"/>
      <c r="F223" s="20"/>
    </row>
    <row r="224" customFormat="false" ht="15" hidden="false" customHeight="false" outlineLevel="0" collapsed="false">
      <c r="A224" s="14"/>
      <c r="B224" s="13"/>
      <c r="C224" s="13"/>
      <c r="D224" s="13"/>
      <c r="E224" s="13"/>
      <c r="F224" s="15"/>
    </row>
    <row r="225" customFormat="false" ht="15" hidden="false" customHeight="false" outlineLevel="0" collapsed="false">
      <c r="A225" s="19"/>
      <c r="B225" s="18"/>
      <c r="C225" s="18"/>
      <c r="D225" s="18"/>
      <c r="E225" s="18"/>
      <c r="F225" s="20"/>
    </row>
    <row r="226" customFormat="false" ht="15" hidden="false" customHeight="false" outlineLevel="0" collapsed="false">
      <c r="A226" s="14"/>
      <c r="B226" s="13"/>
      <c r="C226" s="13"/>
      <c r="D226" s="13"/>
      <c r="E226" s="13"/>
      <c r="F226" s="15"/>
    </row>
    <row r="227" customFormat="false" ht="15" hidden="false" customHeight="false" outlineLevel="0" collapsed="false">
      <c r="A227" s="19"/>
      <c r="B227" s="18"/>
      <c r="C227" s="18"/>
      <c r="D227" s="18"/>
      <c r="E227" s="18"/>
      <c r="F227" s="20"/>
    </row>
    <row r="228" customFormat="false" ht="15" hidden="false" customHeight="false" outlineLevel="0" collapsed="false">
      <c r="A228" s="14"/>
      <c r="B228" s="13"/>
      <c r="C228" s="13"/>
      <c r="D228" s="13"/>
      <c r="E228" s="13"/>
      <c r="F228" s="15"/>
    </row>
    <row r="229" customFormat="false" ht="15" hidden="false" customHeight="false" outlineLevel="0" collapsed="false">
      <c r="A229" s="19"/>
      <c r="B229" s="18"/>
      <c r="C229" s="18"/>
      <c r="D229" s="18"/>
      <c r="E229" s="18"/>
      <c r="F229" s="20"/>
    </row>
    <row r="230" customFormat="false" ht="15" hidden="false" customHeight="false" outlineLevel="0" collapsed="false">
      <c r="A230" s="14"/>
      <c r="B230" s="13"/>
      <c r="C230" s="13"/>
      <c r="D230" s="13"/>
      <c r="E230" s="13"/>
      <c r="F230" s="15"/>
    </row>
    <row r="231" customFormat="false" ht="15" hidden="false" customHeight="false" outlineLevel="0" collapsed="false">
      <c r="A231" s="19"/>
      <c r="B231" s="18"/>
      <c r="C231" s="18"/>
      <c r="D231" s="18"/>
      <c r="E231" s="18"/>
      <c r="F231" s="20"/>
    </row>
    <row r="232" customFormat="false" ht="15" hidden="false" customHeight="false" outlineLevel="0" collapsed="false">
      <c r="A232" s="14"/>
      <c r="B232" s="13"/>
      <c r="C232" s="13"/>
      <c r="D232" s="13"/>
      <c r="E232" s="13"/>
      <c r="F232" s="15"/>
    </row>
    <row r="233" customFormat="false" ht="15" hidden="false" customHeight="false" outlineLevel="0" collapsed="false">
      <c r="A233" s="19"/>
      <c r="B233" s="18"/>
      <c r="C233" s="18"/>
      <c r="D233" s="18"/>
      <c r="E233" s="18"/>
      <c r="F233" s="20"/>
    </row>
    <row r="234" customFormat="false" ht="15" hidden="false" customHeight="false" outlineLevel="0" collapsed="false">
      <c r="A234" s="14"/>
      <c r="B234" s="13"/>
      <c r="C234" s="13"/>
      <c r="D234" s="13"/>
      <c r="E234" s="13"/>
      <c r="F234" s="15"/>
    </row>
    <row r="235" customFormat="false" ht="15" hidden="false" customHeight="false" outlineLevel="0" collapsed="false">
      <c r="A235" s="19"/>
      <c r="B235" s="18"/>
      <c r="C235" s="18"/>
      <c r="D235" s="18"/>
      <c r="E235" s="18"/>
      <c r="F235" s="20"/>
    </row>
    <row r="236" customFormat="false" ht="15" hidden="false" customHeight="false" outlineLevel="0" collapsed="false">
      <c r="A236" s="14"/>
      <c r="B236" s="13"/>
      <c r="C236" s="13"/>
      <c r="D236" s="13"/>
      <c r="E236" s="13"/>
      <c r="F236" s="15"/>
    </row>
    <row r="237" customFormat="false" ht="15" hidden="false" customHeight="false" outlineLevel="0" collapsed="false">
      <c r="A237" s="19"/>
      <c r="B237" s="18"/>
      <c r="C237" s="18"/>
      <c r="D237" s="18"/>
      <c r="E237" s="18"/>
      <c r="F237" s="20"/>
    </row>
    <row r="238" customFormat="false" ht="15" hidden="false" customHeight="false" outlineLevel="0" collapsed="false">
      <c r="A238" s="14"/>
      <c r="B238" s="13"/>
      <c r="C238" s="13"/>
      <c r="D238" s="13"/>
      <c r="E238" s="13"/>
      <c r="F238" s="15"/>
    </row>
    <row r="239" customFormat="false" ht="15" hidden="false" customHeight="false" outlineLevel="0" collapsed="false">
      <c r="A239" s="19"/>
      <c r="B239" s="18"/>
      <c r="C239" s="18"/>
      <c r="D239" s="18"/>
      <c r="E239" s="18"/>
      <c r="F239" s="20"/>
    </row>
    <row r="240" customFormat="false" ht="15" hidden="false" customHeight="false" outlineLevel="0" collapsed="false">
      <c r="A240" s="14"/>
      <c r="B240" s="13"/>
      <c r="C240" s="13"/>
      <c r="D240" s="13"/>
      <c r="E240" s="13"/>
      <c r="F240" s="15"/>
    </row>
    <row r="241" customFormat="false" ht="15" hidden="false" customHeight="false" outlineLevel="0" collapsed="false">
      <c r="A241" s="19"/>
      <c r="B241" s="18"/>
      <c r="C241" s="18"/>
      <c r="D241" s="18"/>
      <c r="E241" s="18"/>
      <c r="F241" s="20"/>
    </row>
    <row r="242" customFormat="false" ht="15" hidden="false" customHeight="false" outlineLevel="0" collapsed="false">
      <c r="A242" s="14"/>
      <c r="B242" s="13"/>
      <c r="C242" s="13"/>
      <c r="D242" s="13"/>
      <c r="E242" s="13"/>
      <c r="F242" s="15"/>
    </row>
    <row r="243" customFormat="false" ht="15" hidden="false" customHeight="false" outlineLevel="0" collapsed="false">
      <c r="A243" s="19"/>
      <c r="B243" s="18"/>
      <c r="C243" s="18"/>
      <c r="D243" s="18"/>
      <c r="E243" s="18"/>
      <c r="F243" s="20"/>
    </row>
    <row r="244" customFormat="false" ht="15" hidden="false" customHeight="false" outlineLevel="0" collapsed="false">
      <c r="A244" s="14"/>
      <c r="B244" s="13"/>
      <c r="C244" s="13"/>
      <c r="D244" s="13"/>
      <c r="E244" s="13"/>
      <c r="F244" s="15"/>
    </row>
    <row r="245" customFormat="false" ht="15" hidden="false" customHeight="false" outlineLevel="0" collapsed="false">
      <c r="A245" s="19"/>
      <c r="B245" s="18"/>
      <c r="C245" s="18"/>
      <c r="D245" s="18"/>
      <c r="E245" s="18"/>
      <c r="F245" s="20"/>
    </row>
    <row r="246" customFormat="false" ht="15" hidden="false" customHeight="false" outlineLevel="0" collapsed="false">
      <c r="A246" s="14"/>
      <c r="B246" s="13"/>
      <c r="C246" s="13"/>
      <c r="D246" s="13"/>
      <c r="E246" s="13"/>
      <c r="F246" s="15"/>
    </row>
    <row r="247" customFormat="false" ht="15" hidden="false" customHeight="false" outlineLevel="0" collapsed="false">
      <c r="A247" s="19"/>
      <c r="B247" s="18"/>
      <c r="C247" s="18"/>
      <c r="D247" s="18"/>
      <c r="E247" s="18"/>
      <c r="F247" s="20"/>
    </row>
    <row r="248" customFormat="false" ht="15" hidden="false" customHeight="false" outlineLevel="0" collapsed="false">
      <c r="A248" s="14"/>
      <c r="B248" s="13"/>
      <c r="C248" s="13"/>
      <c r="D248" s="13"/>
      <c r="E248" s="13"/>
      <c r="F248" s="15"/>
    </row>
    <row r="249" customFormat="false" ht="15" hidden="false" customHeight="false" outlineLevel="0" collapsed="false">
      <c r="A249" s="19"/>
      <c r="B249" s="18"/>
      <c r="C249" s="18"/>
      <c r="D249" s="18"/>
      <c r="E249" s="18"/>
      <c r="F249" s="20"/>
    </row>
    <row r="250" customFormat="false" ht="15" hidden="false" customHeight="false" outlineLevel="0" collapsed="false">
      <c r="A250" s="14"/>
      <c r="B250" s="13"/>
      <c r="C250" s="13"/>
      <c r="D250" s="13"/>
      <c r="E250" s="13"/>
      <c r="F250" s="15"/>
    </row>
    <row r="251" customFormat="false" ht="15" hidden="false" customHeight="false" outlineLevel="0" collapsed="false">
      <c r="A251" s="19"/>
      <c r="B251" s="18"/>
      <c r="C251" s="18"/>
      <c r="D251" s="18"/>
      <c r="E251" s="18"/>
      <c r="F251" s="20"/>
    </row>
    <row r="252" customFormat="false" ht="15" hidden="false" customHeight="false" outlineLevel="0" collapsed="false">
      <c r="A252" s="14"/>
      <c r="B252" s="13"/>
      <c r="C252" s="13"/>
      <c r="D252" s="13"/>
      <c r="E252" s="13"/>
      <c r="F252" s="15"/>
    </row>
    <row r="253" customFormat="false" ht="15" hidden="false" customHeight="false" outlineLevel="0" collapsed="false">
      <c r="A253" s="19"/>
      <c r="B253" s="18"/>
      <c r="C253" s="18"/>
      <c r="D253" s="18"/>
      <c r="E253" s="18"/>
      <c r="F253" s="20"/>
    </row>
    <row r="254" customFormat="false" ht="15" hidden="false" customHeight="false" outlineLevel="0" collapsed="false">
      <c r="A254" s="14"/>
      <c r="B254" s="13"/>
      <c r="C254" s="13"/>
      <c r="D254" s="13"/>
      <c r="E254" s="13"/>
      <c r="F254" s="15"/>
    </row>
    <row r="255" customFormat="false" ht="15" hidden="false" customHeight="false" outlineLevel="0" collapsed="false">
      <c r="A255" s="19"/>
      <c r="B255" s="18"/>
      <c r="C255" s="18"/>
      <c r="D255" s="18"/>
      <c r="E255" s="18"/>
      <c r="F255" s="20"/>
    </row>
    <row r="256" customFormat="false" ht="15" hidden="false" customHeight="false" outlineLevel="0" collapsed="false">
      <c r="A256" s="14"/>
      <c r="B256" s="13"/>
      <c r="C256" s="13"/>
      <c r="D256" s="13"/>
      <c r="E256" s="13"/>
      <c r="F256" s="15"/>
    </row>
    <row r="257" customFormat="false" ht="15" hidden="false" customHeight="false" outlineLevel="0" collapsed="false">
      <c r="A257" s="19"/>
      <c r="B257" s="18"/>
      <c r="C257" s="18"/>
      <c r="D257" s="18"/>
      <c r="E257" s="18"/>
      <c r="F257" s="20"/>
    </row>
    <row r="258" customFormat="false" ht="15" hidden="false" customHeight="false" outlineLevel="0" collapsed="false">
      <c r="A258" s="14"/>
      <c r="B258" s="13"/>
      <c r="C258" s="13"/>
      <c r="D258" s="13"/>
      <c r="E258" s="13"/>
      <c r="F258" s="15"/>
    </row>
    <row r="259" customFormat="false" ht="15" hidden="false" customHeight="false" outlineLevel="0" collapsed="false">
      <c r="A259" s="19"/>
      <c r="B259" s="18"/>
      <c r="C259" s="18"/>
      <c r="D259" s="18"/>
      <c r="E259" s="18"/>
      <c r="F259" s="20"/>
    </row>
    <row r="260" customFormat="false" ht="15" hidden="false" customHeight="false" outlineLevel="0" collapsed="false">
      <c r="A260" s="14"/>
      <c r="B260" s="13"/>
      <c r="C260" s="13"/>
      <c r="D260" s="13"/>
      <c r="E260" s="13"/>
      <c r="F260" s="15"/>
    </row>
    <row r="261" customFormat="false" ht="15" hidden="false" customHeight="false" outlineLevel="0" collapsed="false">
      <c r="A261" s="19"/>
      <c r="B261" s="18"/>
      <c r="C261" s="18"/>
      <c r="D261" s="18"/>
      <c r="E261" s="18"/>
      <c r="F261" s="20"/>
    </row>
    <row r="262" customFormat="false" ht="15" hidden="false" customHeight="false" outlineLevel="0" collapsed="false">
      <c r="A262" s="14"/>
      <c r="B262" s="13"/>
      <c r="C262" s="13"/>
      <c r="D262" s="13"/>
      <c r="E262" s="13"/>
      <c r="F262" s="15"/>
    </row>
    <row r="263" customFormat="false" ht="15" hidden="false" customHeight="false" outlineLevel="0" collapsed="false">
      <c r="A263" s="19"/>
      <c r="B263" s="18"/>
      <c r="C263" s="18"/>
      <c r="D263" s="18"/>
      <c r="E263" s="18"/>
      <c r="F263" s="20"/>
    </row>
    <row r="264" customFormat="false" ht="15" hidden="false" customHeight="false" outlineLevel="0" collapsed="false">
      <c r="A264" s="14"/>
      <c r="B264" s="13"/>
      <c r="C264" s="13"/>
      <c r="D264" s="13"/>
      <c r="E264" s="13"/>
      <c r="F264" s="15"/>
    </row>
    <row r="265" customFormat="false" ht="15" hidden="false" customHeight="false" outlineLevel="0" collapsed="false">
      <c r="A265" s="19"/>
      <c r="B265" s="18"/>
      <c r="C265" s="18"/>
      <c r="D265" s="18"/>
      <c r="E265" s="18"/>
      <c r="F265" s="20"/>
    </row>
    <row r="266" customFormat="false" ht="15" hidden="false" customHeight="false" outlineLevel="0" collapsed="false">
      <c r="A266" s="14"/>
      <c r="B266" s="13"/>
      <c r="C266" s="13"/>
      <c r="D266" s="13"/>
      <c r="E266" s="13"/>
      <c r="F266" s="15"/>
    </row>
    <row r="267" customFormat="false" ht="15" hidden="false" customHeight="false" outlineLevel="0" collapsed="false">
      <c r="A267" s="19"/>
      <c r="B267" s="18"/>
      <c r="C267" s="18"/>
      <c r="D267" s="18"/>
      <c r="E267" s="18"/>
      <c r="F267" s="20"/>
    </row>
    <row r="268" customFormat="false" ht="15" hidden="false" customHeight="false" outlineLevel="0" collapsed="false">
      <c r="A268" s="14"/>
      <c r="B268" s="13"/>
      <c r="C268" s="13"/>
      <c r="D268" s="13"/>
      <c r="E268" s="13"/>
      <c r="F268" s="15"/>
    </row>
    <row r="269" customFormat="false" ht="15" hidden="false" customHeight="false" outlineLevel="0" collapsed="false">
      <c r="A269" s="19"/>
      <c r="B269" s="18"/>
      <c r="C269" s="18"/>
      <c r="D269" s="18"/>
      <c r="E269" s="18"/>
      <c r="F269" s="20"/>
    </row>
    <row r="270" customFormat="false" ht="15" hidden="false" customHeight="false" outlineLevel="0" collapsed="false">
      <c r="A270" s="14"/>
      <c r="B270" s="13"/>
      <c r="C270" s="13"/>
      <c r="D270" s="13"/>
      <c r="E270" s="13"/>
      <c r="F270" s="15"/>
    </row>
    <row r="271" customFormat="false" ht="15" hidden="false" customHeight="false" outlineLevel="0" collapsed="false">
      <c r="A271" s="19"/>
      <c r="B271" s="18"/>
      <c r="C271" s="18"/>
      <c r="D271" s="18"/>
      <c r="E271" s="18"/>
      <c r="F271" s="20"/>
    </row>
    <row r="272" customFormat="false" ht="15" hidden="false" customHeight="false" outlineLevel="0" collapsed="false">
      <c r="A272" s="14"/>
      <c r="B272" s="13"/>
      <c r="C272" s="13"/>
      <c r="D272" s="13"/>
      <c r="E272" s="13"/>
      <c r="F272" s="15"/>
    </row>
    <row r="273" customFormat="false" ht="15" hidden="false" customHeight="false" outlineLevel="0" collapsed="false">
      <c r="A273" s="19"/>
      <c r="B273" s="18"/>
      <c r="C273" s="18"/>
      <c r="D273" s="18"/>
      <c r="E273" s="18"/>
      <c r="F273" s="20"/>
    </row>
    <row r="274" customFormat="false" ht="15" hidden="false" customHeight="false" outlineLevel="0" collapsed="false">
      <c r="A274" s="14"/>
      <c r="B274" s="13"/>
      <c r="C274" s="13"/>
      <c r="D274" s="13"/>
      <c r="E274" s="13"/>
      <c r="F274" s="15"/>
    </row>
    <row r="275" customFormat="false" ht="15" hidden="false" customHeight="false" outlineLevel="0" collapsed="false">
      <c r="A275" s="19"/>
      <c r="B275" s="18"/>
      <c r="C275" s="18"/>
      <c r="D275" s="18"/>
      <c r="E275" s="18"/>
      <c r="F275" s="20"/>
    </row>
    <row r="276" customFormat="false" ht="15" hidden="false" customHeight="false" outlineLevel="0" collapsed="false">
      <c r="A276" s="14"/>
      <c r="B276" s="13"/>
      <c r="C276" s="13"/>
      <c r="D276" s="13"/>
      <c r="E276" s="13"/>
      <c r="F276" s="15"/>
    </row>
    <row r="277" customFormat="false" ht="15" hidden="false" customHeight="false" outlineLevel="0" collapsed="false">
      <c r="A277" s="19"/>
      <c r="B277" s="18"/>
      <c r="C277" s="18"/>
      <c r="D277" s="18"/>
      <c r="E277" s="18"/>
      <c r="F277" s="20"/>
    </row>
    <row r="278" customFormat="false" ht="15" hidden="false" customHeight="false" outlineLevel="0" collapsed="false">
      <c r="A278" s="14"/>
      <c r="B278" s="13"/>
      <c r="C278" s="13"/>
      <c r="D278" s="13"/>
      <c r="E278" s="13"/>
      <c r="F278" s="15"/>
    </row>
    <row r="279" customFormat="false" ht="15" hidden="false" customHeight="false" outlineLevel="0" collapsed="false">
      <c r="A279" s="19"/>
      <c r="B279" s="18"/>
      <c r="C279" s="18"/>
      <c r="D279" s="18"/>
      <c r="E279" s="18"/>
      <c r="F279" s="20"/>
    </row>
    <row r="280" customFormat="false" ht="15" hidden="false" customHeight="false" outlineLevel="0" collapsed="false">
      <c r="A280" s="14"/>
      <c r="B280" s="13"/>
      <c r="C280" s="13"/>
      <c r="D280" s="13"/>
      <c r="E280" s="13"/>
      <c r="F280" s="15"/>
    </row>
    <row r="281" customFormat="false" ht="15" hidden="false" customHeight="false" outlineLevel="0" collapsed="false">
      <c r="A281" s="19"/>
      <c r="B281" s="18"/>
      <c r="C281" s="18"/>
      <c r="D281" s="18"/>
      <c r="E281" s="18"/>
      <c r="F281" s="20"/>
    </row>
    <row r="282" customFormat="false" ht="15" hidden="false" customHeight="false" outlineLevel="0" collapsed="false">
      <c r="A282" s="14"/>
      <c r="B282" s="13"/>
      <c r="C282" s="13"/>
      <c r="D282" s="13"/>
      <c r="E282" s="13"/>
      <c r="F282" s="15"/>
    </row>
    <row r="283" customFormat="false" ht="15" hidden="false" customHeight="false" outlineLevel="0" collapsed="false">
      <c r="A283" s="19"/>
      <c r="B283" s="18"/>
      <c r="C283" s="18"/>
      <c r="D283" s="18"/>
      <c r="E283" s="18"/>
      <c r="F283" s="20"/>
    </row>
    <row r="284" customFormat="false" ht="15" hidden="false" customHeight="false" outlineLevel="0" collapsed="false">
      <c r="A284" s="14"/>
      <c r="B284" s="13"/>
      <c r="C284" s="13"/>
      <c r="D284" s="13"/>
      <c r="E284" s="13"/>
      <c r="F284" s="15"/>
    </row>
    <row r="285" customFormat="false" ht="15" hidden="false" customHeight="false" outlineLevel="0" collapsed="false">
      <c r="A285" s="19"/>
      <c r="B285" s="18"/>
      <c r="C285" s="18"/>
      <c r="D285" s="18"/>
      <c r="E285" s="18"/>
      <c r="F285" s="20"/>
    </row>
    <row r="286" customFormat="false" ht="15" hidden="false" customHeight="false" outlineLevel="0" collapsed="false">
      <c r="A286" s="14"/>
      <c r="B286" s="13"/>
      <c r="C286" s="13"/>
      <c r="D286" s="13"/>
      <c r="E286" s="13"/>
      <c r="F286" s="15"/>
    </row>
    <row r="287" customFormat="false" ht="15" hidden="false" customHeight="false" outlineLevel="0" collapsed="false">
      <c r="A287" s="19"/>
      <c r="B287" s="18"/>
      <c r="C287" s="18"/>
      <c r="D287" s="18"/>
      <c r="E287" s="18"/>
      <c r="F287" s="20"/>
    </row>
    <row r="288" customFormat="false" ht="15" hidden="false" customHeight="false" outlineLevel="0" collapsed="false">
      <c r="A288" s="14"/>
      <c r="B288" s="13"/>
      <c r="C288" s="13"/>
      <c r="D288" s="13"/>
      <c r="E288" s="13"/>
      <c r="F288" s="15"/>
    </row>
    <row r="289" customFormat="false" ht="15" hidden="false" customHeight="false" outlineLevel="0" collapsed="false">
      <c r="A289" s="19"/>
      <c r="B289" s="18"/>
      <c r="C289" s="18"/>
      <c r="D289" s="18"/>
      <c r="E289" s="18"/>
      <c r="F289" s="20"/>
    </row>
    <row r="290" customFormat="false" ht="15" hidden="false" customHeight="false" outlineLevel="0" collapsed="false">
      <c r="A290" s="14"/>
      <c r="B290" s="13"/>
      <c r="C290" s="13"/>
      <c r="D290" s="13"/>
      <c r="E290" s="13"/>
      <c r="F290" s="15"/>
    </row>
    <row r="291" customFormat="false" ht="15" hidden="false" customHeight="false" outlineLevel="0" collapsed="false">
      <c r="A291" s="19"/>
      <c r="B291" s="18"/>
      <c r="C291" s="18"/>
      <c r="D291" s="18"/>
      <c r="E291" s="18"/>
      <c r="F291" s="20"/>
    </row>
    <row r="292" customFormat="false" ht="15" hidden="false" customHeight="false" outlineLevel="0" collapsed="false">
      <c r="A292" s="14"/>
      <c r="B292" s="13"/>
      <c r="C292" s="13"/>
      <c r="D292" s="13"/>
      <c r="E292" s="13"/>
      <c r="F292" s="15"/>
    </row>
    <row r="293" customFormat="false" ht="15" hidden="false" customHeight="false" outlineLevel="0" collapsed="false">
      <c r="A293" s="19"/>
      <c r="B293" s="18"/>
      <c r="C293" s="18"/>
      <c r="D293" s="18"/>
      <c r="E293" s="18"/>
      <c r="F293" s="20"/>
    </row>
    <row r="294" customFormat="false" ht="15" hidden="false" customHeight="false" outlineLevel="0" collapsed="false">
      <c r="A294" s="14"/>
      <c r="B294" s="13"/>
      <c r="C294" s="13"/>
      <c r="D294" s="13"/>
      <c r="E294" s="13"/>
      <c r="F294" s="15"/>
    </row>
    <row r="295" customFormat="false" ht="15" hidden="false" customHeight="false" outlineLevel="0" collapsed="false">
      <c r="A295" s="19"/>
      <c r="B295" s="18"/>
      <c r="C295" s="18"/>
      <c r="D295" s="18"/>
      <c r="E295" s="18"/>
      <c r="F295" s="20"/>
    </row>
    <row r="296" customFormat="false" ht="15" hidden="false" customHeight="false" outlineLevel="0" collapsed="false">
      <c r="A296" s="14"/>
      <c r="B296" s="13"/>
      <c r="C296" s="13"/>
      <c r="D296" s="13"/>
      <c r="E296" s="13"/>
      <c r="F296" s="15"/>
    </row>
    <row r="297" customFormat="false" ht="15" hidden="false" customHeight="false" outlineLevel="0" collapsed="false">
      <c r="A297" s="19"/>
      <c r="B297" s="18"/>
      <c r="C297" s="18"/>
      <c r="D297" s="18"/>
      <c r="E297" s="18"/>
      <c r="F297" s="20"/>
    </row>
    <row r="298" customFormat="false" ht="15" hidden="false" customHeight="false" outlineLevel="0" collapsed="false">
      <c r="A298" s="14"/>
      <c r="B298" s="13"/>
      <c r="C298" s="13"/>
      <c r="D298" s="13"/>
      <c r="E298" s="13"/>
      <c r="F298" s="15"/>
    </row>
    <row r="299" customFormat="false" ht="15" hidden="false" customHeight="false" outlineLevel="0" collapsed="false">
      <c r="A299" s="19"/>
      <c r="B299" s="18"/>
      <c r="C299" s="18"/>
      <c r="D299" s="18"/>
      <c r="E299" s="18"/>
      <c r="F299" s="20"/>
    </row>
    <row r="300" customFormat="false" ht="15" hidden="false" customHeight="false" outlineLevel="0" collapsed="false">
      <c r="A300" s="14"/>
      <c r="B300" s="13"/>
      <c r="C300" s="13"/>
      <c r="D300" s="13"/>
      <c r="E300" s="13"/>
      <c r="F300" s="15"/>
    </row>
    <row r="301" customFormat="false" ht="15" hidden="false" customHeight="false" outlineLevel="0" collapsed="false">
      <c r="A301" s="19"/>
      <c r="B301" s="18"/>
      <c r="C301" s="18"/>
      <c r="D301" s="18"/>
      <c r="E301" s="18"/>
      <c r="F301" s="20"/>
    </row>
    <row r="302" customFormat="false" ht="15" hidden="false" customHeight="false" outlineLevel="0" collapsed="false">
      <c r="A302" s="14"/>
      <c r="B302" s="13"/>
      <c r="C302" s="13"/>
      <c r="D302" s="13"/>
      <c r="E302" s="13"/>
      <c r="F302" s="15"/>
    </row>
    <row r="303" customFormat="false" ht="15" hidden="false" customHeight="false" outlineLevel="0" collapsed="false">
      <c r="A303" s="19"/>
      <c r="B303" s="18"/>
      <c r="C303" s="18"/>
      <c r="D303" s="18"/>
      <c r="E303" s="18"/>
      <c r="F303" s="20"/>
    </row>
    <row r="304" customFormat="false" ht="15" hidden="false" customHeight="false" outlineLevel="0" collapsed="false">
      <c r="A304" s="14"/>
      <c r="B304" s="13"/>
      <c r="C304" s="13"/>
      <c r="D304" s="13"/>
      <c r="E304" s="13"/>
      <c r="F304" s="15"/>
    </row>
    <row r="305" customFormat="false" ht="15" hidden="false" customHeight="false" outlineLevel="0" collapsed="false">
      <c r="A305" s="19"/>
      <c r="B305" s="18"/>
      <c r="C305" s="18"/>
      <c r="D305" s="18"/>
      <c r="E305" s="18"/>
      <c r="F305" s="20"/>
    </row>
    <row r="306" customFormat="false" ht="15" hidden="false" customHeight="false" outlineLevel="0" collapsed="false">
      <c r="A306" s="14"/>
      <c r="B306" s="13"/>
      <c r="C306" s="13"/>
      <c r="D306" s="13"/>
      <c r="E306" s="13"/>
      <c r="F306" s="15"/>
    </row>
    <row r="307" customFormat="false" ht="15" hidden="false" customHeight="false" outlineLevel="0" collapsed="false">
      <c r="A307" s="19"/>
      <c r="B307" s="18"/>
      <c r="C307" s="18"/>
      <c r="D307" s="18"/>
      <c r="E307" s="18"/>
      <c r="F307" s="20"/>
    </row>
    <row r="308" customFormat="false" ht="15" hidden="false" customHeight="false" outlineLevel="0" collapsed="false">
      <c r="A308" s="14"/>
      <c r="B308" s="13"/>
      <c r="C308" s="13"/>
      <c r="D308" s="13"/>
      <c r="E308" s="13"/>
      <c r="F308" s="15"/>
    </row>
    <row r="309" customFormat="false" ht="15" hidden="false" customHeight="false" outlineLevel="0" collapsed="false">
      <c r="A309" s="19"/>
      <c r="B309" s="18"/>
      <c r="C309" s="18"/>
      <c r="D309" s="18"/>
      <c r="E309" s="18"/>
      <c r="F309" s="20"/>
    </row>
    <row r="310" customFormat="false" ht="15" hidden="false" customHeight="false" outlineLevel="0" collapsed="false">
      <c r="A310" s="14"/>
      <c r="B310" s="13"/>
      <c r="C310" s="13"/>
      <c r="D310" s="13"/>
      <c r="E310" s="13"/>
      <c r="F310" s="15"/>
    </row>
    <row r="311" customFormat="false" ht="15" hidden="false" customHeight="false" outlineLevel="0" collapsed="false">
      <c r="A311" s="19"/>
      <c r="B311" s="18"/>
      <c r="C311" s="18"/>
      <c r="D311" s="18"/>
      <c r="E311" s="18"/>
      <c r="F311" s="20"/>
    </row>
    <row r="312" customFormat="false" ht="15" hidden="false" customHeight="false" outlineLevel="0" collapsed="false">
      <c r="A312" s="14"/>
      <c r="B312" s="13"/>
      <c r="C312" s="13"/>
      <c r="D312" s="13"/>
      <c r="E312" s="13"/>
      <c r="F312" s="15"/>
    </row>
    <row r="313" customFormat="false" ht="15" hidden="false" customHeight="false" outlineLevel="0" collapsed="false">
      <c r="A313" s="19"/>
      <c r="B313" s="18"/>
      <c r="C313" s="18"/>
      <c r="D313" s="18"/>
      <c r="E313" s="18"/>
      <c r="F313" s="20"/>
    </row>
    <row r="314" customFormat="false" ht="15" hidden="false" customHeight="false" outlineLevel="0" collapsed="false">
      <c r="A314" s="14"/>
      <c r="B314" s="13"/>
      <c r="C314" s="13"/>
      <c r="D314" s="13"/>
      <c r="E314" s="13"/>
      <c r="F314" s="15"/>
    </row>
    <row r="315" customFormat="false" ht="15" hidden="false" customHeight="false" outlineLevel="0" collapsed="false">
      <c r="A315" s="19"/>
      <c r="B315" s="18"/>
      <c r="C315" s="18"/>
      <c r="D315" s="18"/>
      <c r="E315" s="18"/>
      <c r="F315" s="20"/>
    </row>
    <row r="316" customFormat="false" ht="15" hidden="false" customHeight="false" outlineLevel="0" collapsed="false">
      <c r="A316" s="14"/>
      <c r="B316" s="13"/>
      <c r="C316" s="13"/>
      <c r="D316" s="13"/>
      <c r="E316" s="13"/>
      <c r="F316" s="15"/>
    </row>
    <row r="317" customFormat="false" ht="15" hidden="false" customHeight="false" outlineLevel="0" collapsed="false">
      <c r="A317" s="19"/>
      <c r="B317" s="18"/>
      <c r="C317" s="18"/>
      <c r="D317" s="18"/>
      <c r="E317" s="18"/>
      <c r="F317" s="20"/>
    </row>
    <row r="318" customFormat="false" ht="15" hidden="false" customHeight="false" outlineLevel="0" collapsed="false">
      <c r="A318" s="14"/>
      <c r="B318" s="13"/>
      <c r="C318" s="13"/>
      <c r="D318" s="13"/>
      <c r="E318" s="13"/>
      <c r="F318" s="15"/>
    </row>
    <row r="319" customFormat="false" ht="15" hidden="false" customHeight="false" outlineLevel="0" collapsed="false">
      <c r="A319" s="19"/>
      <c r="B319" s="18"/>
      <c r="C319" s="18"/>
      <c r="D319" s="18"/>
      <c r="E319" s="18"/>
      <c r="F319" s="20"/>
    </row>
    <row r="320" customFormat="false" ht="15" hidden="false" customHeight="false" outlineLevel="0" collapsed="false">
      <c r="A320" s="14"/>
      <c r="B320" s="13"/>
      <c r="C320" s="13"/>
      <c r="D320" s="13"/>
      <c r="E320" s="13"/>
      <c r="F320" s="15"/>
    </row>
    <row r="321" customFormat="false" ht="15" hidden="false" customHeight="false" outlineLevel="0" collapsed="false">
      <c r="A321" s="19"/>
      <c r="B321" s="18"/>
      <c r="C321" s="18"/>
      <c r="D321" s="18"/>
      <c r="E321" s="18"/>
      <c r="F321" s="20"/>
    </row>
    <row r="322" customFormat="false" ht="15" hidden="false" customHeight="false" outlineLevel="0" collapsed="false">
      <c r="A322" s="14"/>
      <c r="B322" s="13"/>
      <c r="C322" s="13"/>
      <c r="D322" s="13"/>
      <c r="E322" s="13"/>
      <c r="F322" s="15"/>
    </row>
    <row r="323" customFormat="false" ht="15" hidden="false" customHeight="false" outlineLevel="0" collapsed="false">
      <c r="A323" s="19"/>
      <c r="B323" s="18"/>
      <c r="C323" s="18"/>
      <c r="D323" s="18"/>
      <c r="E323" s="18"/>
      <c r="F323" s="20"/>
    </row>
    <row r="324" customFormat="false" ht="15" hidden="false" customHeight="false" outlineLevel="0" collapsed="false">
      <c r="A324" s="14"/>
      <c r="B324" s="13"/>
      <c r="C324" s="13"/>
      <c r="D324" s="13"/>
      <c r="E324" s="13"/>
      <c r="F324" s="15"/>
    </row>
    <row r="325" customFormat="false" ht="15" hidden="false" customHeight="false" outlineLevel="0" collapsed="false">
      <c r="A325" s="19"/>
      <c r="B325" s="18"/>
      <c r="C325" s="18"/>
      <c r="D325" s="18"/>
      <c r="E325" s="18"/>
      <c r="F325" s="20"/>
    </row>
    <row r="326" customFormat="false" ht="15" hidden="false" customHeight="false" outlineLevel="0" collapsed="false">
      <c r="A326" s="14"/>
      <c r="B326" s="13"/>
      <c r="C326" s="13"/>
      <c r="D326" s="13"/>
      <c r="E326" s="13"/>
      <c r="F326" s="15"/>
    </row>
    <row r="327" customFormat="false" ht="15" hidden="false" customHeight="false" outlineLevel="0" collapsed="false">
      <c r="A327" s="19"/>
      <c r="B327" s="18"/>
      <c r="C327" s="18"/>
      <c r="D327" s="18"/>
      <c r="E327" s="18"/>
      <c r="F327" s="20"/>
    </row>
    <row r="328" customFormat="false" ht="15" hidden="false" customHeight="false" outlineLevel="0" collapsed="false">
      <c r="A328" s="14"/>
      <c r="B328" s="13"/>
      <c r="C328" s="13"/>
      <c r="D328" s="13"/>
      <c r="E328" s="13"/>
      <c r="F328" s="15"/>
    </row>
    <row r="329" customFormat="false" ht="15" hidden="false" customHeight="false" outlineLevel="0" collapsed="false">
      <c r="A329" s="19"/>
      <c r="B329" s="18"/>
      <c r="C329" s="18"/>
      <c r="D329" s="18"/>
      <c r="E329" s="18"/>
      <c r="F329" s="20"/>
    </row>
    <row r="330" customFormat="false" ht="15" hidden="false" customHeight="false" outlineLevel="0" collapsed="false">
      <c r="A330" s="14"/>
      <c r="B330" s="13"/>
      <c r="C330" s="13"/>
      <c r="D330" s="13"/>
      <c r="E330" s="13"/>
      <c r="F330" s="15"/>
    </row>
    <row r="331" customFormat="false" ht="15" hidden="false" customHeight="false" outlineLevel="0" collapsed="false">
      <c r="A331" s="19"/>
      <c r="B331" s="18"/>
      <c r="C331" s="18"/>
      <c r="D331" s="18"/>
      <c r="E331" s="18"/>
      <c r="F331" s="20"/>
    </row>
    <row r="332" customFormat="false" ht="15" hidden="false" customHeight="false" outlineLevel="0" collapsed="false">
      <c r="A332" s="14"/>
      <c r="B332" s="13"/>
      <c r="C332" s="13"/>
      <c r="D332" s="13"/>
      <c r="E332" s="13"/>
      <c r="F332" s="15"/>
    </row>
    <row r="333" customFormat="false" ht="15" hidden="false" customHeight="false" outlineLevel="0" collapsed="false">
      <c r="A333" s="19"/>
      <c r="B333" s="18"/>
      <c r="C333" s="18"/>
      <c r="D333" s="18"/>
      <c r="E333" s="18"/>
      <c r="F333" s="20"/>
    </row>
    <row r="334" customFormat="false" ht="15" hidden="false" customHeight="false" outlineLevel="0" collapsed="false">
      <c r="A334" s="14"/>
      <c r="B334" s="13"/>
      <c r="C334" s="13"/>
      <c r="D334" s="13"/>
      <c r="E334" s="13"/>
      <c r="F334" s="15"/>
    </row>
    <row r="335" customFormat="false" ht="15" hidden="false" customHeight="false" outlineLevel="0" collapsed="false">
      <c r="A335" s="19"/>
      <c r="B335" s="18"/>
      <c r="C335" s="18"/>
      <c r="D335" s="18"/>
      <c r="E335" s="18"/>
      <c r="F335" s="20"/>
    </row>
    <row r="336" customFormat="false" ht="15" hidden="false" customHeight="false" outlineLevel="0" collapsed="false">
      <c r="A336" s="14"/>
      <c r="B336" s="13"/>
      <c r="C336" s="13"/>
      <c r="D336" s="13"/>
      <c r="E336" s="13"/>
      <c r="F336" s="15"/>
    </row>
    <row r="337" customFormat="false" ht="15" hidden="false" customHeight="false" outlineLevel="0" collapsed="false">
      <c r="A337" s="19"/>
      <c r="B337" s="18"/>
      <c r="C337" s="18"/>
      <c r="D337" s="18"/>
      <c r="E337" s="18"/>
      <c r="F337" s="20"/>
    </row>
    <row r="338" customFormat="false" ht="15" hidden="false" customHeight="false" outlineLevel="0" collapsed="false">
      <c r="A338" s="14"/>
      <c r="B338" s="13"/>
      <c r="C338" s="13"/>
      <c r="D338" s="13"/>
      <c r="E338" s="13"/>
      <c r="F338" s="15"/>
    </row>
    <row r="339" customFormat="false" ht="15" hidden="false" customHeight="false" outlineLevel="0" collapsed="false">
      <c r="A339" s="19"/>
      <c r="B339" s="18"/>
      <c r="C339" s="18"/>
      <c r="D339" s="18"/>
      <c r="E339" s="18"/>
      <c r="F339" s="20"/>
    </row>
    <row r="340" customFormat="false" ht="15" hidden="false" customHeight="false" outlineLevel="0" collapsed="false">
      <c r="A340" s="14"/>
      <c r="B340" s="13"/>
      <c r="C340" s="13"/>
      <c r="D340" s="13"/>
      <c r="E340" s="13"/>
      <c r="F340" s="15"/>
    </row>
    <row r="341" customFormat="false" ht="15" hidden="false" customHeight="false" outlineLevel="0" collapsed="false">
      <c r="A341" s="19"/>
      <c r="B341" s="18"/>
      <c r="C341" s="18"/>
      <c r="D341" s="18"/>
      <c r="E341" s="18"/>
      <c r="F341" s="20"/>
    </row>
    <row r="342" customFormat="false" ht="15" hidden="false" customHeight="false" outlineLevel="0" collapsed="false">
      <c r="A342" s="14"/>
      <c r="B342" s="13"/>
      <c r="C342" s="13"/>
      <c r="D342" s="13"/>
      <c r="E342" s="13"/>
      <c r="F342" s="15"/>
    </row>
    <row r="343" customFormat="false" ht="15" hidden="false" customHeight="false" outlineLevel="0" collapsed="false">
      <c r="A343" s="19"/>
      <c r="B343" s="18"/>
      <c r="C343" s="18"/>
      <c r="D343" s="18"/>
      <c r="E343" s="18"/>
      <c r="F343" s="20"/>
    </row>
    <row r="344" customFormat="false" ht="15" hidden="false" customHeight="false" outlineLevel="0" collapsed="false">
      <c r="A344" s="14"/>
      <c r="B344" s="13"/>
      <c r="C344" s="13"/>
      <c r="D344" s="13"/>
      <c r="E344" s="13"/>
      <c r="F344" s="15"/>
    </row>
    <row r="345" customFormat="false" ht="15" hidden="false" customHeight="false" outlineLevel="0" collapsed="false">
      <c r="A345" s="19"/>
      <c r="B345" s="18"/>
      <c r="C345" s="18"/>
      <c r="D345" s="18"/>
      <c r="E345" s="18"/>
      <c r="F345" s="20"/>
    </row>
    <row r="346" customFormat="false" ht="15" hidden="false" customHeight="false" outlineLevel="0" collapsed="false">
      <c r="A346" s="14"/>
      <c r="B346" s="13"/>
      <c r="C346" s="13"/>
      <c r="D346" s="13"/>
      <c r="E346" s="13"/>
      <c r="F346" s="15"/>
    </row>
    <row r="347" customFormat="false" ht="15" hidden="false" customHeight="false" outlineLevel="0" collapsed="false">
      <c r="A347" s="19"/>
      <c r="B347" s="18"/>
      <c r="C347" s="18"/>
      <c r="D347" s="18"/>
      <c r="E347" s="18"/>
      <c r="F347" s="20"/>
    </row>
    <row r="348" customFormat="false" ht="15" hidden="false" customHeight="false" outlineLevel="0" collapsed="false">
      <c r="A348" s="14"/>
      <c r="B348" s="13"/>
      <c r="C348" s="13"/>
      <c r="D348" s="13"/>
      <c r="E348" s="13"/>
      <c r="F348" s="15"/>
    </row>
    <row r="349" customFormat="false" ht="15" hidden="false" customHeight="false" outlineLevel="0" collapsed="false">
      <c r="A349" s="19"/>
      <c r="B349" s="18"/>
      <c r="C349" s="18"/>
      <c r="D349" s="18"/>
      <c r="E349" s="18"/>
      <c r="F349" s="20"/>
    </row>
    <row r="350" customFormat="false" ht="15" hidden="false" customHeight="false" outlineLevel="0" collapsed="false">
      <c r="A350" s="14"/>
      <c r="B350" s="13"/>
      <c r="C350" s="13"/>
      <c r="D350" s="13"/>
      <c r="E350" s="13"/>
      <c r="F350" s="15"/>
    </row>
    <row r="351" customFormat="false" ht="15" hidden="false" customHeight="false" outlineLevel="0" collapsed="false">
      <c r="A351" s="19"/>
      <c r="B351" s="18"/>
      <c r="C351" s="18"/>
      <c r="D351" s="18"/>
      <c r="E351" s="18"/>
      <c r="F351" s="20"/>
    </row>
    <row r="352" customFormat="false" ht="15" hidden="false" customHeight="false" outlineLevel="0" collapsed="false">
      <c r="A352" s="14"/>
      <c r="B352" s="13"/>
      <c r="C352" s="13"/>
      <c r="D352" s="13"/>
      <c r="E352" s="13"/>
      <c r="F352" s="15"/>
    </row>
    <row r="353" customFormat="false" ht="15" hidden="false" customHeight="false" outlineLevel="0" collapsed="false">
      <c r="A353" s="19"/>
      <c r="B353" s="18"/>
      <c r="C353" s="18"/>
      <c r="D353" s="18"/>
      <c r="E353" s="18"/>
      <c r="F353" s="20"/>
    </row>
    <row r="354" customFormat="false" ht="15" hidden="false" customHeight="false" outlineLevel="0" collapsed="false">
      <c r="A354" s="14"/>
      <c r="B354" s="13"/>
      <c r="C354" s="13"/>
      <c r="D354" s="13"/>
      <c r="E354" s="13"/>
      <c r="F354" s="15"/>
    </row>
    <row r="355" customFormat="false" ht="15" hidden="false" customHeight="false" outlineLevel="0" collapsed="false">
      <c r="A355" s="19"/>
      <c r="B355" s="18"/>
      <c r="C355" s="18"/>
      <c r="D355" s="18"/>
      <c r="E355" s="18"/>
      <c r="F355" s="20"/>
    </row>
    <row r="356" customFormat="false" ht="15" hidden="false" customHeight="false" outlineLevel="0" collapsed="false">
      <c r="A356" s="14"/>
      <c r="B356" s="13"/>
      <c r="C356" s="13"/>
      <c r="D356" s="13"/>
      <c r="E356" s="13"/>
      <c r="F356" s="15"/>
    </row>
    <row r="357" customFormat="false" ht="15" hidden="false" customHeight="false" outlineLevel="0" collapsed="false">
      <c r="A357" s="19"/>
      <c r="B357" s="18"/>
      <c r="C357" s="18"/>
      <c r="D357" s="18"/>
      <c r="E357" s="18"/>
      <c r="F357" s="20"/>
    </row>
    <row r="358" customFormat="false" ht="15" hidden="false" customHeight="false" outlineLevel="0" collapsed="false">
      <c r="A358" s="14"/>
      <c r="B358" s="13"/>
      <c r="C358" s="13"/>
      <c r="D358" s="13"/>
      <c r="E358" s="13"/>
      <c r="F358" s="15"/>
    </row>
    <row r="359" customFormat="false" ht="15" hidden="false" customHeight="false" outlineLevel="0" collapsed="false">
      <c r="A359" s="19"/>
      <c r="B359" s="18"/>
      <c r="C359" s="18"/>
      <c r="D359" s="18"/>
      <c r="E359" s="18"/>
      <c r="F359" s="20"/>
    </row>
    <row r="360" customFormat="false" ht="15" hidden="false" customHeight="false" outlineLevel="0" collapsed="false">
      <c r="A360" s="14"/>
      <c r="B360" s="13"/>
      <c r="C360" s="13"/>
      <c r="D360" s="13"/>
      <c r="E360" s="13"/>
      <c r="F360" s="15"/>
    </row>
    <row r="361" customFormat="false" ht="15" hidden="false" customHeight="false" outlineLevel="0" collapsed="false">
      <c r="A361" s="19"/>
      <c r="B361" s="18"/>
      <c r="C361" s="18"/>
      <c r="D361" s="18"/>
      <c r="E361" s="18"/>
      <c r="F361" s="20"/>
    </row>
    <row r="362" customFormat="false" ht="15" hidden="false" customHeight="false" outlineLevel="0" collapsed="false">
      <c r="A362" s="14"/>
      <c r="B362" s="13"/>
      <c r="C362" s="13"/>
      <c r="D362" s="13"/>
      <c r="E362" s="13"/>
      <c r="F362" s="15"/>
    </row>
    <row r="363" customFormat="false" ht="15" hidden="false" customHeight="false" outlineLevel="0" collapsed="false">
      <c r="A363" s="19"/>
      <c r="B363" s="18"/>
      <c r="C363" s="18"/>
      <c r="D363" s="18"/>
      <c r="E363" s="18"/>
      <c r="F363" s="20"/>
    </row>
    <row r="364" customFormat="false" ht="15" hidden="false" customHeight="false" outlineLevel="0" collapsed="false">
      <c r="A364" s="14"/>
      <c r="B364" s="13"/>
      <c r="C364" s="13"/>
      <c r="D364" s="13"/>
      <c r="E364" s="13"/>
      <c r="F364" s="15"/>
    </row>
    <row r="365" customFormat="false" ht="15" hidden="false" customHeight="false" outlineLevel="0" collapsed="false">
      <c r="A365" s="19"/>
      <c r="B365" s="18"/>
      <c r="C365" s="18"/>
      <c r="D365" s="18"/>
      <c r="E365" s="18"/>
      <c r="F365" s="20"/>
    </row>
    <row r="366" customFormat="false" ht="15" hidden="false" customHeight="false" outlineLevel="0" collapsed="false">
      <c r="A366" s="14"/>
      <c r="B366" s="13"/>
      <c r="C366" s="13"/>
      <c r="D366" s="13"/>
      <c r="E366" s="13"/>
      <c r="F366" s="15"/>
    </row>
    <row r="367" customFormat="false" ht="15" hidden="false" customHeight="false" outlineLevel="0" collapsed="false">
      <c r="A367" s="19"/>
      <c r="B367" s="18"/>
      <c r="C367" s="18"/>
      <c r="D367" s="18"/>
      <c r="E367" s="18"/>
      <c r="F367" s="20"/>
    </row>
    <row r="368" customFormat="false" ht="15" hidden="false" customHeight="false" outlineLevel="0" collapsed="false">
      <c r="A368" s="14"/>
      <c r="B368" s="13"/>
      <c r="C368" s="13"/>
      <c r="D368" s="13"/>
      <c r="E368" s="13"/>
      <c r="F368" s="15"/>
    </row>
    <row r="369" customFormat="false" ht="15" hidden="false" customHeight="false" outlineLevel="0" collapsed="false">
      <c r="A369" s="19"/>
      <c r="B369" s="18"/>
      <c r="C369" s="18"/>
      <c r="D369" s="18"/>
      <c r="E369" s="18"/>
      <c r="F369" s="20"/>
    </row>
    <row r="370" customFormat="false" ht="15" hidden="false" customHeight="false" outlineLevel="0" collapsed="false">
      <c r="A370" s="14"/>
      <c r="B370" s="13"/>
      <c r="C370" s="13"/>
      <c r="D370" s="13"/>
      <c r="E370" s="13"/>
      <c r="F370" s="15"/>
    </row>
    <row r="371" customFormat="false" ht="15" hidden="false" customHeight="false" outlineLevel="0" collapsed="false">
      <c r="A371" s="19"/>
      <c r="B371" s="18"/>
      <c r="C371" s="18"/>
      <c r="D371" s="18"/>
      <c r="E371" s="18"/>
      <c r="F371" s="20"/>
    </row>
    <row r="372" customFormat="false" ht="15" hidden="false" customHeight="false" outlineLevel="0" collapsed="false">
      <c r="A372" s="14"/>
      <c r="B372" s="13"/>
      <c r="C372" s="13"/>
      <c r="D372" s="13"/>
      <c r="E372" s="13"/>
      <c r="F372" s="15"/>
    </row>
    <row r="373" customFormat="false" ht="15" hidden="false" customHeight="false" outlineLevel="0" collapsed="false">
      <c r="A373" s="19"/>
      <c r="B373" s="18"/>
      <c r="C373" s="18"/>
      <c r="D373" s="18"/>
      <c r="E373" s="18"/>
      <c r="F373" s="20"/>
    </row>
    <row r="374" customFormat="false" ht="15" hidden="false" customHeight="false" outlineLevel="0" collapsed="false">
      <c r="A374" s="14"/>
      <c r="B374" s="13"/>
      <c r="C374" s="13"/>
      <c r="D374" s="13"/>
      <c r="E374" s="13"/>
      <c r="F374" s="15"/>
    </row>
    <row r="375" customFormat="false" ht="15" hidden="false" customHeight="false" outlineLevel="0" collapsed="false">
      <c r="A375" s="19"/>
      <c r="B375" s="18"/>
      <c r="C375" s="18"/>
      <c r="D375" s="18"/>
      <c r="E375" s="18"/>
      <c r="F375" s="20"/>
    </row>
    <row r="376" customFormat="false" ht="15" hidden="false" customHeight="false" outlineLevel="0" collapsed="false">
      <c r="A376" s="14"/>
      <c r="B376" s="13"/>
      <c r="C376" s="13"/>
      <c r="D376" s="13"/>
      <c r="E376" s="13"/>
      <c r="F376" s="15"/>
    </row>
    <row r="377" customFormat="false" ht="15" hidden="false" customHeight="false" outlineLevel="0" collapsed="false">
      <c r="A377" s="19"/>
      <c r="B377" s="18"/>
      <c r="C377" s="18"/>
      <c r="D377" s="18"/>
      <c r="E377" s="18"/>
      <c r="F377" s="20"/>
    </row>
    <row r="378" customFormat="false" ht="15" hidden="false" customHeight="false" outlineLevel="0" collapsed="false">
      <c r="A378" s="14"/>
      <c r="B378" s="13"/>
      <c r="C378" s="13"/>
      <c r="D378" s="13"/>
      <c r="E378" s="13"/>
      <c r="F378" s="15"/>
    </row>
    <row r="379" customFormat="false" ht="15" hidden="false" customHeight="false" outlineLevel="0" collapsed="false">
      <c r="A379" s="19"/>
      <c r="B379" s="18"/>
      <c r="C379" s="18"/>
      <c r="D379" s="18"/>
      <c r="E379" s="18"/>
      <c r="F379" s="20"/>
    </row>
    <row r="380" customFormat="false" ht="15" hidden="false" customHeight="false" outlineLevel="0" collapsed="false">
      <c r="A380" s="14"/>
      <c r="B380" s="13"/>
      <c r="C380" s="13"/>
      <c r="D380" s="13"/>
      <c r="E380" s="13"/>
      <c r="F380" s="15"/>
    </row>
    <row r="381" customFormat="false" ht="15" hidden="false" customHeight="false" outlineLevel="0" collapsed="false">
      <c r="A381" s="19"/>
      <c r="B381" s="18"/>
      <c r="C381" s="18"/>
      <c r="D381" s="18"/>
      <c r="E381" s="18"/>
      <c r="F381" s="20"/>
    </row>
    <row r="382" customFormat="false" ht="15" hidden="false" customHeight="false" outlineLevel="0" collapsed="false">
      <c r="A382" s="14"/>
      <c r="B382" s="13"/>
      <c r="C382" s="13"/>
      <c r="D382" s="13"/>
      <c r="E382" s="13"/>
      <c r="F382" s="15"/>
    </row>
    <row r="383" customFormat="false" ht="15" hidden="false" customHeight="false" outlineLevel="0" collapsed="false">
      <c r="A383" s="19"/>
      <c r="B383" s="18"/>
      <c r="C383" s="18"/>
      <c r="D383" s="18"/>
      <c r="E383" s="18"/>
      <c r="F383" s="20"/>
    </row>
    <row r="384" customFormat="false" ht="15" hidden="false" customHeight="false" outlineLevel="0" collapsed="false">
      <c r="A384" s="14"/>
      <c r="B384" s="13"/>
      <c r="C384" s="13"/>
      <c r="D384" s="13"/>
      <c r="E384" s="13"/>
      <c r="F384" s="15"/>
    </row>
    <row r="385" customFormat="false" ht="15" hidden="false" customHeight="false" outlineLevel="0" collapsed="false">
      <c r="A385" s="19"/>
      <c r="B385" s="18"/>
      <c r="C385" s="18"/>
      <c r="D385" s="18"/>
      <c r="E385" s="18"/>
      <c r="F385" s="20"/>
    </row>
    <row r="386" customFormat="false" ht="15" hidden="false" customHeight="false" outlineLevel="0" collapsed="false">
      <c r="A386" s="14"/>
      <c r="B386" s="13"/>
      <c r="C386" s="13"/>
      <c r="D386" s="13"/>
      <c r="E386" s="13"/>
      <c r="F386" s="15"/>
    </row>
    <row r="387" customFormat="false" ht="15" hidden="false" customHeight="false" outlineLevel="0" collapsed="false">
      <c r="A387" s="19"/>
      <c r="B387" s="18"/>
      <c r="C387" s="18"/>
      <c r="D387" s="18"/>
      <c r="E387" s="18"/>
      <c r="F387" s="20"/>
    </row>
    <row r="388" customFormat="false" ht="15" hidden="false" customHeight="false" outlineLevel="0" collapsed="false">
      <c r="A388" s="14"/>
      <c r="B388" s="13"/>
      <c r="C388" s="13"/>
      <c r="D388" s="13"/>
      <c r="E388" s="13"/>
      <c r="F388" s="15"/>
    </row>
    <row r="389" customFormat="false" ht="15" hidden="false" customHeight="false" outlineLevel="0" collapsed="false">
      <c r="A389" s="19"/>
      <c r="B389" s="18"/>
      <c r="C389" s="18"/>
      <c r="D389" s="18"/>
      <c r="E389" s="18"/>
      <c r="F389" s="20"/>
    </row>
    <row r="390" customFormat="false" ht="15" hidden="false" customHeight="false" outlineLevel="0" collapsed="false">
      <c r="A390" s="14"/>
      <c r="B390" s="13"/>
      <c r="C390" s="13"/>
      <c r="D390" s="13"/>
      <c r="E390" s="13"/>
      <c r="F390" s="15"/>
    </row>
    <row r="391" customFormat="false" ht="15" hidden="false" customHeight="false" outlineLevel="0" collapsed="false">
      <c r="A391" s="19"/>
      <c r="B391" s="18"/>
      <c r="C391" s="18"/>
      <c r="D391" s="18"/>
      <c r="E391" s="18"/>
      <c r="F391" s="20"/>
    </row>
    <row r="392" customFormat="false" ht="15" hidden="false" customHeight="false" outlineLevel="0" collapsed="false">
      <c r="A392" s="14"/>
      <c r="B392" s="13"/>
      <c r="C392" s="13"/>
      <c r="D392" s="13"/>
      <c r="E392" s="13"/>
      <c r="F392" s="15"/>
    </row>
    <row r="393" customFormat="false" ht="15" hidden="false" customHeight="false" outlineLevel="0" collapsed="false">
      <c r="A393" s="19"/>
      <c r="B393" s="18"/>
      <c r="C393" s="18"/>
      <c r="D393" s="18"/>
      <c r="E393" s="18"/>
      <c r="F393" s="20"/>
    </row>
    <row r="394" customFormat="false" ht="15" hidden="false" customHeight="false" outlineLevel="0" collapsed="false">
      <c r="A394" s="14"/>
      <c r="B394" s="13"/>
      <c r="C394" s="13"/>
      <c r="D394" s="13"/>
      <c r="E394" s="13"/>
      <c r="F394" s="15"/>
    </row>
    <row r="395" customFormat="false" ht="15" hidden="false" customHeight="false" outlineLevel="0" collapsed="false">
      <c r="A395" s="19"/>
      <c r="B395" s="18"/>
      <c r="C395" s="18"/>
      <c r="D395" s="18"/>
      <c r="E395" s="18"/>
      <c r="F395" s="20"/>
    </row>
    <row r="396" customFormat="false" ht="15" hidden="false" customHeight="false" outlineLevel="0" collapsed="false">
      <c r="A396" s="14"/>
      <c r="B396" s="13"/>
      <c r="C396" s="13"/>
      <c r="D396" s="13"/>
      <c r="E396" s="13"/>
      <c r="F396" s="15"/>
    </row>
    <row r="397" customFormat="false" ht="15" hidden="false" customHeight="false" outlineLevel="0" collapsed="false">
      <c r="A397" s="19"/>
      <c r="B397" s="18"/>
      <c r="C397" s="18"/>
      <c r="D397" s="18"/>
      <c r="E397" s="18"/>
      <c r="F397" s="20"/>
    </row>
    <row r="398" customFormat="false" ht="15" hidden="false" customHeight="false" outlineLevel="0" collapsed="false">
      <c r="A398" s="14"/>
      <c r="B398" s="13"/>
      <c r="C398" s="13"/>
      <c r="D398" s="13"/>
      <c r="E398" s="13"/>
      <c r="F398" s="15"/>
    </row>
    <row r="399" customFormat="false" ht="15" hidden="false" customHeight="false" outlineLevel="0" collapsed="false">
      <c r="A399" s="19"/>
      <c r="B399" s="18"/>
      <c r="C399" s="18"/>
      <c r="D399" s="18"/>
      <c r="E399" s="18"/>
      <c r="F399" s="20"/>
    </row>
    <row r="400" customFormat="false" ht="15" hidden="false" customHeight="false" outlineLevel="0" collapsed="false">
      <c r="A400" s="14"/>
      <c r="B400" s="13"/>
      <c r="C400" s="13"/>
      <c r="D400" s="13"/>
      <c r="E400" s="13"/>
      <c r="F400" s="15"/>
    </row>
    <row r="401" customFormat="false" ht="15" hidden="false" customHeight="false" outlineLevel="0" collapsed="false">
      <c r="A401" s="19"/>
      <c r="B401" s="18"/>
      <c r="C401" s="18"/>
      <c r="D401" s="18"/>
      <c r="E401" s="18"/>
      <c r="F401" s="20"/>
    </row>
    <row r="402" customFormat="false" ht="15" hidden="false" customHeight="false" outlineLevel="0" collapsed="false">
      <c r="A402" s="14"/>
      <c r="B402" s="13"/>
      <c r="C402" s="13"/>
      <c r="D402" s="13"/>
      <c r="E402" s="13"/>
      <c r="F402" s="15"/>
    </row>
    <row r="403" customFormat="false" ht="15" hidden="false" customHeight="false" outlineLevel="0" collapsed="false">
      <c r="A403" s="19"/>
      <c r="B403" s="18"/>
      <c r="C403" s="18"/>
      <c r="D403" s="18"/>
      <c r="E403" s="18"/>
      <c r="F403" s="20"/>
    </row>
    <row r="404" customFormat="false" ht="15" hidden="false" customHeight="false" outlineLevel="0" collapsed="false">
      <c r="A404" s="14"/>
      <c r="B404" s="13"/>
      <c r="C404" s="13"/>
      <c r="D404" s="13"/>
      <c r="E404" s="13"/>
      <c r="F404" s="15"/>
    </row>
    <row r="405" customFormat="false" ht="15" hidden="false" customHeight="false" outlineLevel="0" collapsed="false">
      <c r="A405" s="19"/>
      <c r="B405" s="18"/>
      <c r="C405" s="18"/>
      <c r="D405" s="18"/>
      <c r="E405" s="18"/>
      <c r="F405" s="20"/>
    </row>
    <row r="406" customFormat="false" ht="15" hidden="false" customHeight="false" outlineLevel="0" collapsed="false">
      <c r="A406" s="14"/>
      <c r="B406" s="13"/>
      <c r="C406" s="13"/>
      <c r="D406" s="13"/>
      <c r="E406" s="13"/>
      <c r="F406" s="15"/>
    </row>
    <row r="407" customFormat="false" ht="15" hidden="false" customHeight="false" outlineLevel="0" collapsed="false">
      <c r="A407" s="19"/>
      <c r="B407" s="18"/>
      <c r="C407" s="18"/>
      <c r="D407" s="18"/>
      <c r="E407" s="18"/>
      <c r="F407" s="20"/>
    </row>
    <row r="408" customFormat="false" ht="15" hidden="false" customHeight="false" outlineLevel="0" collapsed="false">
      <c r="A408" s="14"/>
      <c r="B408" s="13"/>
      <c r="C408" s="13"/>
      <c r="D408" s="13"/>
      <c r="E408" s="13"/>
      <c r="F408" s="15"/>
    </row>
    <row r="409" customFormat="false" ht="15" hidden="false" customHeight="false" outlineLevel="0" collapsed="false">
      <c r="A409" s="19"/>
      <c r="B409" s="18"/>
      <c r="C409" s="18"/>
      <c r="D409" s="18"/>
      <c r="E409" s="18"/>
      <c r="F409" s="20"/>
    </row>
    <row r="410" customFormat="false" ht="15" hidden="false" customHeight="false" outlineLevel="0" collapsed="false">
      <c r="A410" s="14"/>
      <c r="B410" s="13"/>
      <c r="C410" s="13"/>
      <c r="D410" s="13"/>
      <c r="E410" s="13"/>
      <c r="F410" s="15"/>
    </row>
    <row r="411" customFormat="false" ht="15" hidden="false" customHeight="false" outlineLevel="0" collapsed="false">
      <c r="A411" s="19"/>
      <c r="B411" s="18"/>
      <c r="C411" s="18"/>
      <c r="D411" s="18"/>
      <c r="E411" s="18"/>
      <c r="F411" s="20"/>
    </row>
    <row r="412" customFormat="false" ht="15" hidden="false" customHeight="false" outlineLevel="0" collapsed="false">
      <c r="A412" s="14"/>
      <c r="B412" s="13"/>
      <c r="C412" s="13"/>
      <c r="D412" s="13"/>
      <c r="E412" s="13"/>
      <c r="F412" s="15"/>
    </row>
    <row r="413" customFormat="false" ht="15" hidden="false" customHeight="false" outlineLevel="0" collapsed="false">
      <c r="A413" s="19"/>
      <c r="B413" s="18"/>
      <c r="C413" s="18"/>
      <c r="D413" s="18"/>
      <c r="E413" s="18"/>
      <c r="F413" s="20"/>
    </row>
    <row r="414" customFormat="false" ht="15" hidden="false" customHeight="false" outlineLevel="0" collapsed="false">
      <c r="A414" s="14"/>
      <c r="B414" s="13"/>
      <c r="C414" s="13"/>
      <c r="D414" s="13"/>
      <c r="E414" s="13"/>
      <c r="F414" s="15"/>
    </row>
    <row r="415" customFormat="false" ht="15" hidden="false" customHeight="false" outlineLevel="0" collapsed="false">
      <c r="A415" s="19"/>
      <c r="B415" s="18"/>
      <c r="C415" s="18"/>
      <c r="D415" s="18"/>
      <c r="E415" s="18"/>
      <c r="F415" s="20"/>
    </row>
    <row r="416" customFormat="false" ht="15" hidden="false" customHeight="false" outlineLevel="0" collapsed="false">
      <c r="A416" s="14"/>
      <c r="B416" s="13"/>
      <c r="C416" s="13"/>
      <c r="D416" s="13"/>
      <c r="E416" s="13"/>
      <c r="F416" s="15"/>
    </row>
    <row r="417" customFormat="false" ht="15" hidden="false" customHeight="false" outlineLevel="0" collapsed="false">
      <c r="A417" s="19"/>
      <c r="B417" s="18"/>
      <c r="C417" s="18"/>
      <c r="D417" s="18"/>
      <c r="E417" s="18"/>
      <c r="F417" s="20"/>
    </row>
    <row r="418" customFormat="false" ht="15" hidden="false" customHeight="false" outlineLevel="0" collapsed="false">
      <c r="A418" s="14"/>
      <c r="B418" s="13"/>
      <c r="C418" s="13"/>
      <c r="D418" s="13"/>
      <c r="E418" s="13"/>
      <c r="F418" s="15"/>
    </row>
    <row r="419" customFormat="false" ht="15" hidden="false" customHeight="false" outlineLevel="0" collapsed="false">
      <c r="A419" s="19"/>
      <c r="B419" s="18"/>
      <c r="C419" s="18"/>
      <c r="D419" s="18"/>
      <c r="E419" s="18"/>
      <c r="F419" s="20"/>
    </row>
    <row r="420" customFormat="false" ht="15" hidden="false" customHeight="false" outlineLevel="0" collapsed="false">
      <c r="A420" s="14"/>
      <c r="B420" s="13"/>
      <c r="C420" s="13"/>
      <c r="D420" s="13"/>
      <c r="E420" s="13"/>
      <c r="F420" s="15"/>
    </row>
    <row r="421" customFormat="false" ht="15" hidden="false" customHeight="false" outlineLevel="0" collapsed="false">
      <c r="A421" s="19"/>
      <c r="B421" s="18"/>
      <c r="C421" s="18"/>
      <c r="D421" s="18"/>
      <c r="E421" s="18"/>
      <c r="F421" s="20"/>
    </row>
    <row r="422" customFormat="false" ht="15" hidden="false" customHeight="false" outlineLevel="0" collapsed="false">
      <c r="A422" s="14"/>
      <c r="B422" s="13"/>
      <c r="C422" s="13"/>
      <c r="D422" s="13"/>
      <c r="E422" s="13"/>
      <c r="F422" s="15"/>
    </row>
    <row r="423" customFormat="false" ht="15" hidden="false" customHeight="false" outlineLevel="0" collapsed="false">
      <c r="A423" s="19"/>
      <c r="B423" s="18"/>
      <c r="C423" s="18"/>
      <c r="D423" s="18"/>
      <c r="E423" s="18"/>
      <c r="F423" s="20"/>
    </row>
    <row r="424" customFormat="false" ht="15" hidden="false" customHeight="false" outlineLevel="0" collapsed="false">
      <c r="A424" s="14"/>
      <c r="B424" s="13"/>
      <c r="C424" s="13"/>
      <c r="D424" s="13"/>
      <c r="E424" s="13"/>
      <c r="F424" s="15"/>
    </row>
    <row r="425" customFormat="false" ht="15" hidden="false" customHeight="false" outlineLevel="0" collapsed="false">
      <c r="A425" s="19"/>
      <c r="B425" s="18"/>
      <c r="C425" s="18"/>
      <c r="D425" s="18"/>
      <c r="E425" s="18"/>
      <c r="F425" s="20"/>
    </row>
    <row r="426" customFormat="false" ht="15" hidden="false" customHeight="false" outlineLevel="0" collapsed="false">
      <c r="A426" s="14"/>
      <c r="B426" s="13"/>
      <c r="C426" s="13"/>
      <c r="D426" s="13"/>
      <c r="E426" s="13"/>
      <c r="F426" s="15"/>
    </row>
    <row r="427" customFormat="false" ht="15" hidden="false" customHeight="false" outlineLevel="0" collapsed="false">
      <c r="A427" s="19"/>
      <c r="B427" s="18"/>
      <c r="C427" s="18"/>
      <c r="D427" s="18"/>
      <c r="E427" s="18"/>
      <c r="F427" s="20"/>
    </row>
    <row r="428" customFormat="false" ht="15" hidden="false" customHeight="false" outlineLevel="0" collapsed="false">
      <c r="A428" s="14"/>
      <c r="B428" s="13"/>
      <c r="C428" s="13"/>
      <c r="D428" s="13"/>
      <c r="E428" s="13"/>
      <c r="F428" s="15"/>
    </row>
    <row r="429" customFormat="false" ht="15" hidden="false" customHeight="false" outlineLevel="0" collapsed="false">
      <c r="A429" s="19"/>
      <c r="B429" s="18"/>
      <c r="C429" s="18"/>
      <c r="D429" s="18"/>
      <c r="E429" s="18"/>
      <c r="F429" s="20"/>
    </row>
    <row r="430" customFormat="false" ht="15" hidden="false" customHeight="false" outlineLevel="0" collapsed="false">
      <c r="A430" s="14"/>
      <c r="B430" s="13"/>
      <c r="C430" s="13"/>
      <c r="D430" s="13"/>
      <c r="E430" s="13"/>
      <c r="F430" s="15"/>
    </row>
    <row r="431" customFormat="false" ht="15" hidden="false" customHeight="false" outlineLevel="0" collapsed="false">
      <c r="A431" s="19"/>
      <c r="B431" s="18"/>
      <c r="C431" s="18"/>
      <c r="D431" s="18"/>
      <c r="E431" s="18"/>
      <c r="F431" s="20"/>
    </row>
    <row r="432" customFormat="false" ht="15" hidden="false" customHeight="false" outlineLevel="0" collapsed="false">
      <c r="A432" s="14"/>
      <c r="B432" s="13"/>
      <c r="C432" s="13"/>
      <c r="D432" s="13"/>
      <c r="E432" s="13"/>
      <c r="F432" s="15"/>
    </row>
    <row r="433" customFormat="false" ht="15" hidden="false" customHeight="false" outlineLevel="0" collapsed="false">
      <c r="A433" s="19"/>
      <c r="B433" s="18"/>
      <c r="C433" s="18"/>
      <c r="D433" s="18"/>
      <c r="E433" s="18"/>
      <c r="F433" s="20"/>
    </row>
    <row r="434" customFormat="false" ht="15" hidden="false" customHeight="false" outlineLevel="0" collapsed="false">
      <c r="A434" s="14"/>
      <c r="B434" s="13"/>
      <c r="C434" s="13"/>
      <c r="D434" s="13"/>
      <c r="E434" s="13"/>
      <c r="F434" s="15"/>
    </row>
    <row r="435" customFormat="false" ht="15" hidden="false" customHeight="false" outlineLevel="0" collapsed="false">
      <c r="A435" s="19"/>
      <c r="B435" s="18"/>
      <c r="C435" s="18"/>
      <c r="D435" s="18"/>
      <c r="E435" s="18"/>
      <c r="F435" s="20"/>
    </row>
    <row r="436" customFormat="false" ht="15" hidden="false" customHeight="false" outlineLevel="0" collapsed="false">
      <c r="A436" s="14"/>
      <c r="B436" s="13"/>
      <c r="C436" s="13"/>
      <c r="D436" s="13"/>
      <c r="E436" s="13"/>
      <c r="F436" s="15"/>
    </row>
    <row r="437" customFormat="false" ht="15" hidden="false" customHeight="false" outlineLevel="0" collapsed="false">
      <c r="A437" s="19"/>
      <c r="B437" s="18"/>
      <c r="C437" s="18"/>
      <c r="D437" s="18"/>
      <c r="E437" s="18"/>
      <c r="F437" s="20"/>
    </row>
    <row r="438" customFormat="false" ht="15" hidden="false" customHeight="false" outlineLevel="0" collapsed="false">
      <c r="A438" s="14"/>
      <c r="B438" s="13"/>
      <c r="C438" s="13"/>
      <c r="D438" s="13"/>
      <c r="E438" s="13"/>
      <c r="F438" s="15"/>
    </row>
    <row r="439" customFormat="false" ht="15" hidden="false" customHeight="false" outlineLevel="0" collapsed="false">
      <c r="A439" s="19"/>
      <c r="B439" s="18"/>
      <c r="C439" s="18"/>
      <c r="D439" s="18"/>
      <c r="E439" s="18"/>
      <c r="F439" s="20"/>
    </row>
    <row r="440" customFormat="false" ht="15" hidden="false" customHeight="false" outlineLevel="0" collapsed="false">
      <c r="A440" s="14"/>
      <c r="B440" s="13"/>
      <c r="C440" s="13"/>
      <c r="D440" s="13"/>
      <c r="E440" s="13"/>
      <c r="F440" s="15"/>
    </row>
    <row r="441" customFormat="false" ht="15" hidden="false" customHeight="false" outlineLevel="0" collapsed="false">
      <c r="A441" s="19"/>
      <c r="B441" s="18"/>
      <c r="C441" s="18"/>
      <c r="D441" s="18"/>
      <c r="E441" s="18"/>
      <c r="F441" s="20"/>
    </row>
    <row r="442" customFormat="false" ht="15" hidden="false" customHeight="false" outlineLevel="0" collapsed="false">
      <c r="A442" s="14"/>
      <c r="B442" s="13"/>
      <c r="C442" s="13"/>
      <c r="D442" s="13"/>
      <c r="E442" s="13"/>
      <c r="F442" s="15"/>
    </row>
    <row r="443" customFormat="false" ht="15" hidden="false" customHeight="false" outlineLevel="0" collapsed="false">
      <c r="A443" s="19"/>
      <c r="B443" s="18"/>
      <c r="C443" s="18"/>
      <c r="D443" s="18"/>
      <c r="E443" s="18"/>
      <c r="F443" s="20"/>
    </row>
    <row r="444" customFormat="false" ht="15" hidden="false" customHeight="false" outlineLevel="0" collapsed="false">
      <c r="A444" s="14"/>
      <c r="B444" s="13"/>
      <c r="C444" s="13"/>
      <c r="D444" s="13"/>
      <c r="E444" s="13"/>
      <c r="F444" s="15"/>
    </row>
    <row r="445" customFormat="false" ht="15" hidden="false" customHeight="false" outlineLevel="0" collapsed="false">
      <c r="A445" s="19"/>
      <c r="B445" s="18"/>
      <c r="C445" s="18"/>
      <c r="D445" s="18"/>
      <c r="E445" s="18"/>
      <c r="F445" s="20"/>
    </row>
    <row r="446" customFormat="false" ht="15" hidden="false" customHeight="false" outlineLevel="0" collapsed="false">
      <c r="A446" s="14"/>
      <c r="B446" s="13"/>
      <c r="C446" s="13"/>
      <c r="D446" s="13"/>
      <c r="E446" s="13"/>
      <c r="F446" s="15"/>
    </row>
    <row r="447" customFormat="false" ht="15" hidden="false" customHeight="false" outlineLevel="0" collapsed="false">
      <c r="A447" s="19"/>
      <c r="B447" s="18"/>
      <c r="C447" s="18"/>
      <c r="D447" s="18"/>
      <c r="E447" s="18"/>
      <c r="F447" s="20"/>
    </row>
    <row r="448" customFormat="false" ht="15" hidden="false" customHeight="false" outlineLevel="0" collapsed="false">
      <c r="A448" s="14"/>
      <c r="B448" s="13"/>
      <c r="C448" s="13"/>
      <c r="D448" s="13"/>
      <c r="E448" s="13"/>
      <c r="F448" s="15"/>
    </row>
    <row r="449" customFormat="false" ht="15" hidden="false" customHeight="false" outlineLevel="0" collapsed="false">
      <c r="A449" s="19"/>
      <c r="B449" s="18"/>
      <c r="C449" s="18"/>
      <c r="D449" s="18"/>
      <c r="E449" s="18"/>
      <c r="F449" s="20"/>
    </row>
    <row r="450" customFormat="false" ht="15" hidden="false" customHeight="false" outlineLevel="0" collapsed="false">
      <c r="A450" s="14"/>
      <c r="B450" s="13"/>
      <c r="C450" s="13"/>
      <c r="D450" s="13"/>
      <c r="E450" s="13"/>
      <c r="F450" s="15"/>
    </row>
    <row r="451" customFormat="false" ht="15" hidden="false" customHeight="false" outlineLevel="0" collapsed="false">
      <c r="A451" s="19"/>
      <c r="B451" s="18"/>
      <c r="C451" s="18"/>
      <c r="D451" s="18"/>
      <c r="E451" s="18"/>
      <c r="F451" s="20"/>
    </row>
    <row r="452" customFormat="false" ht="15" hidden="false" customHeight="false" outlineLevel="0" collapsed="false">
      <c r="A452" s="14"/>
      <c r="B452" s="13"/>
      <c r="C452" s="13"/>
      <c r="D452" s="13"/>
      <c r="E452" s="13"/>
      <c r="F452" s="15"/>
    </row>
    <row r="453" customFormat="false" ht="15" hidden="false" customHeight="false" outlineLevel="0" collapsed="false">
      <c r="A453" s="19"/>
      <c r="B453" s="18"/>
      <c r="C453" s="18"/>
      <c r="D453" s="18"/>
      <c r="E453" s="18"/>
      <c r="F453" s="20"/>
    </row>
    <row r="454" customFormat="false" ht="15" hidden="false" customHeight="false" outlineLevel="0" collapsed="false">
      <c r="A454" s="14"/>
      <c r="B454" s="13"/>
      <c r="C454" s="13"/>
      <c r="D454" s="13"/>
      <c r="E454" s="13"/>
      <c r="F454" s="15"/>
    </row>
    <row r="455" customFormat="false" ht="15" hidden="false" customHeight="false" outlineLevel="0" collapsed="false">
      <c r="A455" s="19"/>
      <c r="B455" s="18"/>
      <c r="C455" s="18"/>
      <c r="D455" s="18"/>
      <c r="E455" s="18"/>
      <c r="F455" s="20"/>
    </row>
    <row r="456" customFormat="false" ht="15" hidden="false" customHeight="false" outlineLevel="0" collapsed="false">
      <c r="A456" s="14"/>
      <c r="B456" s="13"/>
      <c r="C456" s="13"/>
      <c r="D456" s="13"/>
      <c r="E456" s="13"/>
      <c r="F456" s="15"/>
    </row>
    <row r="457" customFormat="false" ht="15" hidden="false" customHeight="false" outlineLevel="0" collapsed="false">
      <c r="A457" s="19"/>
      <c r="B457" s="18"/>
      <c r="C457" s="18"/>
      <c r="D457" s="18"/>
      <c r="E457" s="18"/>
      <c r="F457" s="20"/>
    </row>
    <row r="458" customFormat="false" ht="15" hidden="false" customHeight="false" outlineLevel="0" collapsed="false">
      <c r="A458" s="14"/>
      <c r="B458" s="13"/>
      <c r="C458" s="13"/>
      <c r="D458" s="13"/>
      <c r="E458" s="13"/>
      <c r="F458" s="15"/>
    </row>
    <row r="459" customFormat="false" ht="15" hidden="false" customHeight="false" outlineLevel="0" collapsed="false">
      <c r="A459" s="19"/>
      <c r="B459" s="18"/>
      <c r="C459" s="18"/>
      <c r="D459" s="18"/>
      <c r="E459" s="18"/>
      <c r="F459" s="20"/>
    </row>
    <row r="460" customFormat="false" ht="15" hidden="false" customHeight="false" outlineLevel="0" collapsed="false">
      <c r="A460" s="14"/>
      <c r="B460" s="13"/>
      <c r="C460" s="13"/>
      <c r="D460" s="13"/>
      <c r="E460" s="13"/>
      <c r="F460" s="15"/>
    </row>
    <row r="461" customFormat="false" ht="15" hidden="false" customHeight="false" outlineLevel="0" collapsed="false">
      <c r="A461" s="19"/>
      <c r="B461" s="18"/>
      <c r="C461" s="18"/>
      <c r="D461" s="18"/>
      <c r="E461" s="18"/>
      <c r="F461" s="20"/>
    </row>
    <row r="462" customFormat="false" ht="15" hidden="false" customHeight="false" outlineLevel="0" collapsed="false">
      <c r="A462" s="14"/>
      <c r="B462" s="13"/>
      <c r="C462" s="13"/>
      <c r="D462" s="13"/>
      <c r="E462" s="13"/>
      <c r="F462" s="15"/>
    </row>
    <row r="463" customFormat="false" ht="15" hidden="false" customHeight="false" outlineLevel="0" collapsed="false">
      <c r="A463" s="19"/>
      <c r="B463" s="18"/>
      <c r="C463" s="18"/>
      <c r="D463" s="18"/>
      <c r="E463" s="18"/>
      <c r="F463" s="20"/>
    </row>
    <row r="464" customFormat="false" ht="15" hidden="false" customHeight="false" outlineLevel="0" collapsed="false">
      <c r="A464" s="14"/>
      <c r="B464" s="13"/>
      <c r="C464" s="13"/>
      <c r="D464" s="13"/>
      <c r="E464" s="13"/>
      <c r="F464" s="15"/>
    </row>
    <row r="465" customFormat="false" ht="15" hidden="false" customHeight="false" outlineLevel="0" collapsed="false">
      <c r="A465" s="19"/>
      <c r="B465" s="18"/>
      <c r="C465" s="18"/>
      <c r="D465" s="18"/>
      <c r="E465" s="18"/>
      <c r="F465" s="20"/>
    </row>
    <row r="466" customFormat="false" ht="15" hidden="false" customHeight="false" outlineLevel="0" collapsed="false">
      <c r="A466" s="14"/>
      <c r="B466" s="13"/>
      <c r="C466" s="13"/>
      <c r="D466" s="13"/>
      <c r="E466" s="13"/>
      <c r="F466" s="15"/>
    </row>
    <row r="467" customFormat="false" ht="15" hidden="false" customHeight="false" outlineLevel="0" collapsed="false">
      <c r="A467" s="19"/>
      <c r="B467" s="18"/>
      <c r="C467" s="18"/>
      <c r="D467" s="18"/>
      <c r="E467" s="18"/>
      <c r="F467" s="20"/>
    </row>
    <row r="468" customFormat="false" ht="15" hidden="false" customHeight="false" outlineLevel="0" collapsed="false">
      <c r="A468" s="14"/>
      <c r="B468" s="13"/>
      <c r="C468" s="13"/>
      <c r="D468" s="13"/>
      <c r="E468" s="13"/>
      <c r="F468" s="15"/>
    </row>
    <row r="469" customFormat="false" ht="15" hidden="false" customHeight="false" outlineLevel="0" collapsed="false">
      <c r="A469" s="19"/>
      <c r="B469" s="18"/>
      <c r="C469" s="18"/>
      <c r="D469" s="18"/>
      <c r="E469" s="18"/>
      <c r="F469" s="20"/>
    </row>
    <row r="470" customFormat="false" ht="15" hidden="false" customHeight="false" outlineLevel="0" collapsed="false">
      <c r="A470" s="14"/>
      <c r="B470" s="13"/>
      <c r="C470" s="13"/>
      <c r="D470" s="13"/>
      <c r="E470" s="13"/>
      <c r="F470" s="15"/>
    </row>
    <row r="471" customFormat="false" ht="15" hidden="false" customHeight="false" outlineLevel="0" collapsed="false">
      <c r="A471" s="19"/>
      <c r="B471" s="18"/>
      <c r="C471" s="18"/>
      <c r="D471" s="18"/>
      <c r="E471" s="18"/>
      <c r="F471" s="20"/>
    </row>
    <row r="472" customFormat="false" ht="15" hidden="false" customHeight="false" outlineLevel="0" collapsed="false">
      <c r="A472" s="14"/>
      <c r="B472" s="13"/>
      <c r="C472" s="13"/>
      <c r="D472" s="13"/>
      <c r="E472" s="13"/>
      <c r="F472" s="15"/>
    </row>
    <row r="473" customFormat="false" ht="15" hidden="false" customHeight="false" outlineLevel="0" collapsed="false">
      <c r="A473" s="19"/>
      <c r="B473" s="18"/>
      <c r="C473" s="18"/>
      <c r="D473" s="18"/>
      <c r="E473" s="18"/>
      <c r="F473" s="20"/>
    </row>
    <row r="474" customFormat="false" ht="15" hidden="false" customHeight="false" outlineLevel="0" collapsed="false">
      <c r="A474" s="14"/>
      <c r="B474" s="13"/>
      <c r="C474" s="13"/>
      <c r="D474" s="13"/>
      <c r="E474" s="13"/>
      <c r="F474" s="15"/>
    </row>
    <row r="475" customFormat="false" ht="15" hidden="false" customHeight="false" outlineLevel="0" collapsed="false">
      <c r="A475" s="19"/>
      <c r="B475" s="18"/>
      <c r="C475" s="18"/>
      <c r="D475" s="18"/>
      <c r="E475" s="18"/>
      <c r="F475" s="20"/>
    </row>
    <row r="476" customFormat="false" ht="15" hidden="false" customHeight="false" outlineLevel="0" collapsed="false">
      <c r="A476" s="14"/>
      <c r="B476" s="13"/>
      <c r="C476" s="13"/>
      <c r="D476" s="13"/>
      <c r="E476" s="13"/>
      <c r="F476" s="15"/>
    </row>
    <row r="477" customFormat="false" ht="15" hidden="false" customHeight="false" outlineLevel="0" collapsed="false">
      <c r="A477" s="19"/>
      <c r="B477" s="18"/>
      <c r="C477" s="18"/>
      <c r="D477" s="18"/>
      <c r="E477" s="18"/>
      <c r="F477" s="20"/>
    </row>
    <row r="478" customFormat="false" ht="15" hidden="false" customHeight="false" outlineLevel="0" collapsed="false">
      <c r="A478" s="14"/>
      <c r="B478" s="13"/>
      <c r="C478" s="13"/>
      <c r="D478" s="13"/>
      <c r="E478" s="13"/>
      <c r="F478" s="15"/>
    </row>
    <row r="479" customFormat="false" ht="15" hidden="false" customHeight="false" outlineLevel="0" collapsed="false">
      <c r="A479" s="19"/>
      <c r="B479" s="18"/>
      <c r="C479" s="18"/>
      <c r="D479" s="18"/>
      <c r="E479" s="18"/>
      <c r="F479" s="20"/>
    </row>
    <row r="480" customFormat="false" ht="15" hidden="false" customHeight="false" outlineLevel="0" collapsed="false">
      <c r="A480" s="14"/>
      <c r="B480" s="13"/>
      <c r="C480" s="13"/>
      <c r="D480" s="13"/>
      <c r="E480" s="13"/>
      <c r="F480" s="15"/>
    </row>
    <row r="481" customFormat="false" ht="15" hidden="false" customHeight="false" outlineLevel="0" collapsed="false">
      <c r="A481" s="19"/>
      <c r="B481" s="18"/>
      <c r="C481" s="18"/>
      <c r="D481" s="18"/>
      <c r="E481" s="18"/>
      <c r="F481" s="20"/>
    </row>
    <row r="482" customFormat="false" ht="15" hidden="false" customHeight="false" outlineLevel="0" collapsed="false">
      <c r="A482" s="14"/>
      <c r="B482" s="13"/>
      <c r="C482" s="13"/>
      <c r="D482" s="13"/>
      <c r="E482" s="13"/>
      <c r="F482" s="15"/>
    </row>
    <row r="483" customFormat="false" ht="15" hidden="false" customHeight="false" outlineLevel="0" collapsed="false">
      <c r="A483" s="19"/>
      <c r="B483" s="18"/>
      <c r="C483" s="18"/>
      <c r="D483" s="18"/>
      <c r="E483" s="18"/>
      <c r="F483" s="20"/>
    </row>
    <row r="484" customFormat="false" ht="15" hidden="false" customHeight="false" outlineLevel="0" collapsed="false">
      <c r="A484" s="14"/>
      <c r="B484" s="13"/>
      <c r="C484" s="13"/>
      <c r="D484" s="13"/>
      <c r="E484" s="13"/>
      <c r="F484" s="15"/>
    </row>
    <row r="485" customFormat="false" ht="15" hidden="false" customHeight="false" outlineLevel="0" collapsed="false">
      <c r="A485" s="19"/>
      <c r="B485" s="18"/>
      <c r="C485" s="18"/>
      <c r="D485" s="18"/>
      <c r="E485" s="18"/>
      <c r="F485" s="20"/>
    </row>
    <row r="486" customFormat="false" ht="15" hidden="false" customHeight="false" outlineLevel="0" collapsed="false">
      <c r="A486" s="14"/>
      <c r="B486" s="13"/>
      <c r="C486" s="13"/>
      <c r="D486" s="13"/>
      <c r="E486" s="13"/>
      <c r="F486" s="15"/>
    </row>
    <row r="487" customFormat="false" ht="15" hidden="false" customHeight="false" outlineLevel="0" collapsed="false">
      <c r="A487" s="19"/>
      <c r="B487" s="18"/>
      <c r="C487" s="18"/>
      <c r="D487" s="18"/>
      <c r="E487" s="18"/>
      <c r="F487" s="20"/>
    </row>
    <row r="488" customFormat="false" ht="15" hidden="false" customHeight="false" outlineLevel="0" collapsed="false">
      <c r="A488" s="14"/>
      <c r="B488" s="13"/>
      <c r="C488" s="13"/>
      <c r="D488" s="13"/>
      <c r="E488" s="13"/>
      <c r="F488" s="15"/>
    </row>
    <row r="489" customFormat="false" ht="15" hidden="false" customHeight="false" outlineLevel="0" collapsed="false">
      <c r="A489" s="19"/>
      <c r="B489" s="18"/>
      <c r="C489" s="18"/>
      <c r="D489" s="18"/>
      <c r="E489" s="18"/>
      <c r="F489" s="20"/>
    </row>
    <row r="490" customFormat="false" ht="15" hidden="false" customHeight="false" outlineLevel="0" collapsed="false">
      <c r="A490" s="14"/>
      <c r="B490" s="13"/>
      <c r="C490" s="13"/>
      <c r="D490" s="13"/>
      <c r="E490" s="13"/>
      <c r="F490" s="15"/>
    </row>
    <row r="491" customFormat="false" ht="15" hidden="false" customHeight="false" outlineLevel="0" collapsed="false">
      <c r="A491" s="19"/>
      <c r="B491" s="18"/>
      <c r="C491" s="18"/>
      <c r="D491" s="18"/>
      <c r="E491" s="18"/>
      <c r="F491" s="20"/>
    </row>
    <row r="492" customFormat="false" ht="15" hidden="false" customHeight="false" outlineLevel="0" collapsed="false">
      <c r="A492" s="14"/>
      <c r="B492" s="13"/>
      <c r="C492" s="13"/>
      <c r="D492" s="13"/>
      <c r="E492" s="13"/>
      <c r="F492" s="15"/>
    </row>
    <row r="493" customFormat="false" ht="15" hidden="false" customHeight="false" outlineLevel="0" collapsed="false">
      <c r="A493" s="19"/>
      <c r="B493" s="18"/>
      <c r="C493" s="18"/>
      <c r="D493" s="18"/>
      <c r="E493" s="18"/>
      <c r="F493" s="20"/>
    </row>
    <row r="494" customFormat="false" ht="15" hidden="false" customHeight="false" outlineLevel="0" collapsed="false">
      <c r="A494" s="14"/>
      <c r="B494" s="13"/>
      <c r="C494" s="13"/>
      <c r="D494" s="13"/>
      <c r="E494" s="13"/>
      <c r="F494" s="15"/>
    </row>
    <row r="495" customFormat="false" ht="15" hidden="false" customHeight="false" outlineLevel="0" collapsed="false">
      <c r="A495" s="19"/>
      <c r="B495" s="18"/>
      <c r="C495" s="18"/>
      <c r="D495" s="18"/>
      <c r="E495" s="18"/>
      <c r="F495" s="20"/>
    </row>
    <row r="496" customFormat="false" ht="15" hidden="false" customHeight="false" outlineLevel="0" collapsed="false">
      <c r="A496" s="14"/>
      <c r="B496" s="13"/>
      <c r="C496" s="13"/>
      <c r="D496" s="13"/>
      <c r="E496" s="13"/>
      <c r="F496" s="15"/>
    </row>
    <row r="497" customFormat="false" ht="15" hidden="false" customHeight="false" outlineLevel="0" collapsed="false">
      <c r="A497" s="19"/>
      <c r="B497" s="18"/>
      <c r="C497" s="18"/>
      <c r="D497" s="18"/>
      <c r="E497" s="18"/>
      <c r="F497" s="20"/>
    </row>
    <row r="498" customFormat="false" ht="15" hidden="false" customHeight="false" outlineLevel="0" collapsed="false">
      <c r="A498" s="14"/>
      <c r="B498" s="13"/>
      <c r="C498" s="13"/>
      <c r="D498" s="13"/>
      <c r="E498" s="13"/>
      <c r="F498" s="15"/>
    </row>
    <row r="499" customFormat="false" ht="15" hidden="false" customHeight="false" outlineLevel="0" collapsed="false">
      <c r="A499" s="19"/>
      <c r="B499" s="18"/>
      <c r="C499" s="18"/>
      <c r="D499" s="18"/>
      <c r="E499" s="18"/>
      <c r="F499" s="20"/>
    </row>
    <row r="500" customFormat="false" ht="15" hidden="false" customHeight="false" outlineLevel="0" collapsed="false">
      <c r="A500" s="14"/>
      <c r="B500" s="13"/>
      <c r="C500" s="13"/>
      <c r="D500" s="13"/>
      <c r="E500" s="13"/>
      <c r="F500" s="15"/>
    </row>
    <row r="501" customFormat="false" ht="15" hidden="false" customHeight="false" outlineLevel="0" collapsed="false">
      <c r="A501" s="19"/>
      <c r="B501" s="18"/>
      <c r="C501" s="18"/>
      <c r="D501" s="18"/>
      <c r="E501" s="18"/>
      <c r="F501" s="20"/>
    </row>
    <row r="502" customFormat="false" ht="15" hidden="false" customHeight="false" outlineLevel="0" collapsed="false">
      <c r="A502" s="14"/>
      <c r="B502" s="13"/>
      <c r="C502" s="13"/>
      <c r="D502" s="13"/>
      <c r="E502" s="13"/>
      <c r="F502" s="15"/>
    </row>
    <row r="503" customFormat="false" ht="15" hidden="false" customHeight="false" outlineLevel="0" collapsed="false">
      <c r="A503" s="19"/>
      <c r="B503" s="18"/>
      <c r="C503" s="18"/>
      <c r="D503" s="18"/>
      <c r="E503" s="18"/>
      <c r="F503" s="20"/>
    </row>
    <row r="504" customFormat="false" ht="15" hidden="false" customHeight="false" outlineLevel="0" collapsed="false">
      <c r="A504" s="14"/>
      <c r="B504" s="13"/>
      <c r="C504" s="13"/>
      <c r="D504" s="13"/>
      <c r="E504" s="13"/>
      <c r="F504" s="15"/>
    </row>
    <row r="505" customFormat="false" ht="15" hidden="false" customHeight="false" outlineLevel="0" collapsed="false">
      <c r="A505" s="19"/>
      <c r="B505" s="18"/>
      <c r="C505" s="18"/>
      <c r="D505" s="18"/>
      <c r="E505" s="18"/>
      <c r="F505" s="20"/>
    </row>
    <row r="506" customFormat="false" ht="15" hidden="false" customHeight="false" outlineLevel="0" collapsed="false">
      <c r="A506" s="14"/>
      <c r="B506" s="13"/>
      <c r="C506" s="13"/>
      <c r="D506" s="13"/>
      <c r="E506" s="13"/>
      <c r="F506" s="15"/>
    </row>
    <row r="507" customFormat="false" ht="15" hidden="false" customHeight="false" outlineLevel="0" collapsed="false">
      <c r="A507" s="19"/>
      <c r="B507" s="18"/>
      <c r="C507" s="18"/>
      <c r="D507" s="18"/>
      <c r="E507" s="18"/>
      <c r="F507" s="20"/>
    </row>
    <row r="508" customFormat="false" ht="15" hidden="false" customHeight="false" outlineLevel="0" collapsed="false">
      <c r="A508" s="14"/>
      <c r="B508" s="13"/>
      <c r="C508" s="13"/>
      <c r="D508" s="13"/>
      <c r="E508" s="13"/>
      <c r="F508" s="15"/>
    </row>
    <row r="509" customFormat="false" ht="15" hidden="false" customHeight="false" outlineLevel="0" collapsed="false">
      <c r="A509" s="19"/>
      <c r="B509" s="18"/>
      <c r="C509" s="18"/>
      <c r="D509" s="18"/>
      <c r="E509" s="18"/>
      <c r="F509" s="20"/>
    </row>
    <row r="510" customFormat="false" ht="15" hidden="false" customHeight="false" outlineLevel="0" collapsed="false">
      <c r="A510" s="14"/>
      <c r="B510" s="13"/>
      <c r="C510" s="13"/>
      <c r="D510" s="13"/>
      <c r="E510" s="13"/>
      <c r="F510" s="15"/>
    </row>
    <row r="511" customFormat="false" ht="15" hidden="false" customHeight="false" outlineLevel="0" collapsed="false">
      <c r="A511" s="19"/>
      <c r="B511" s="18"/>
      <c r="C511" s="18"/>
      <c r="D511" s="18"/>
      <c r="E511" s="18"/>
      <c r="F511" s="20"/>
    </row>
    <row r="512" customFormat="false" ht="15" hidden="false" customHeight="false" outlineLevel="0" collapsed="false">
      <c r="A512" s="14"/>
      <c r="B512" s="13"/>
      <c r="C512" s="13"/>
      <c r="D512" s="13"/>
      <c r="E512" s="13"/>
      <c r="F512" s="15"/>
    </row>
    <row r="513" customFormat="false" ht="15" hidden="false" customHeight="false" outlineLevel="0" collapsed="false">
      <c r="A513" s="19"/>
      <c r="B513" s="18"/>
      <c r="C513" s="18"/>
      <c r="D513" s="18"/>
      <c r="E513" s="18"/>
      <c r="F513" s="20"/>
    </row>
    <row r="514" customFormat="false" ht="15" hidden="false" customHeight="false" outlineLevel="0" collapsed="false">
      <c r="A514" s="14"/>
      <c r="B514" s="13"/>
      <c r="C514" s="13"/>
      <c r="D514" s="13"/>
      <c r="E514" s="13"/>
      <c r="F514" s="15"/>
    </row>
    <row r="515" customFormat="false" ht="15" hidden="false" customHeight="false" outlineLevel="0" collapsed="false">
      <c r="A515" s="19"/>
      <c r="B515" s="18"/>
      <c r="C515" s="18"/>
      <c r="D515" s="18"/>
      <c r="E515" s="18"/>
      <c r="F515" s="20"/>
    </row>
    <row r="516" customFormat="false" ht="15" hidden="false" customHeight="false" outlineLevel="0" collapsed="false">
      <c r="A516" s="14"/>
      <c r="B516" s="13"/>
      <c r="C516" s="13"/>
      <c r="D516" s="13"/>
      <c r="E516" s="13"/>
      <c r="F516" s="15"/>
    </row>
    <row r="517" customFormat="false" ht="15" hidden="false" customHeight="false" outlineLevel="0" collapsed="false">
      <c r="A517" s="19"/>
      <c r="B517" s="18"/>
      <c r="C517" s="18"/>
      <c r="D517" s="18"/>
      <c r="E517" s="18"/>
      <c r="F517" s="20"/>
    </row>
    <row r="518" customFormat="false" ht="15" hidden="false" customHeight="false" outlineLevel="0" collapsed="false">
      <c r="A518" s="14"/>
      <c r="B518" s="13"/>
      <c r="C518" s="13"/>
      <c r="D518" s="13"/>
      <c r="E518" s="13"/>
      <c r="F518" s="15"/>
    </row>
    <row r="519" customFormat="false" ht="15" hidden="false" customHeight="false" outlineLevel="0" collapsed="false">
      <c r="A519" s="19"/>
      <c r="B519" s="18"/>
      <c r="C519" s="18"/>
      <c r="D519" s="18"/>
      <c r="E519" s="18"/>
      <c r="F519" s="20"/>
    </row>
    <row r="520" customFormat="false" ht="15" hidden="false" customHeight="false" outlineLevel="0" collapsed="false">
      <c r="A520" s="14"/>
      <c r="B520" s="13"/>
      <c r="C520" s="13"/>
      <c r="D520" s="13"/>
      <c r="E520" s="13"/>
      <c r="F520" s="15"/>
    </row>
    <row r="521" customFormat="false" ht="15" hidden="false" customHeight="false" outlineLevel="0" collapsed="false">
      <c r="A521" s="19"/>
      <c r="B521" s="18"/>
      <c r="C521" s="18"/>
      <c r="D521" s="18"/>
      <c r="E521" s="18"/>
      <c r="F521" s="20"/>
    </row>
    <row r="522" customFormat="false" ht="15" hidden="false" customHeight="false" outlineLevel="0" collapsed="false">
      <c r="A522" s="14"/>
      <c r="B522" s="13"/>
      <c r="C522" s="13"/>
      <c r="D522" s="13"/>
      <c r="E522" s="13"/>
      <c r="F522" s="15"/>
    </row>
    <row r="523" customFormat="false" ht="15" hidden="false" customHeight="false" outlineLevel="0" collapsed="false">
      <c r="A523" s="19"/>
      <c r="B523" s="18"/>
      <c r="C523" s="18"/>
      <c r="D523" s="18"/>
      <c r="E523" s="18"/>
      <c r="F523" s="20"/>
    </row>
    <row r="524" customFormat="false" ht="15" hidden="false" customHeight="false" outlineLevel="0" collapsed="false">
      <c r="A524" s="14"/>
      <c r="B524" s="13"/>
      <c r="C524" s="13"/>
      <c r="D524" s="13"/>
      <c r="E524" s="13"/>
      <c r="F524" s="15"/>
    </row>
    <row r="525" customFormat="false" ht="15" hidden="false" customHeight="false" outlineLevel="0" collapsed="false">
      <c r="A525" s="19"/>
      <c r="B525" s="18"/>
      <c r="C525" s="18"/>
      <c r="D525" s="18"/>
      <c r="E525" s="18"/>
      <c r="F525" s="20"/>
    </row>
    <row r="526" customFormat="false" ht="15" hidden="false" customHeight="false" outlineLevel="0" collapsed="false">
      <c r="A526" s="14"/>
      <c r="B526" s="13"/>
      <c r="C526" s="13"/>
      <c r="D526" s="13"/>
      <c r="E526" s="13"/>
      <c r="F526" s="15"/>
    </row>
    <row r="527" customFormat="false" ht="15" hidden="false" customHeight="false" outlineLevel="0" collapsed="false">
      <c r="A527" s="19"/>
      <c r="B527" s="18"/>
      <c r="C527" s="18"/>
      <c r="D527" s="18"/>
      <c r="E527" s="18"/>
      <c r="F527" s="20"/>
    </row>
    <row r="528" customFormat="false" ht="15" hidden="false" customHeight="false" outlineLevel="0" collapsed="false">
      <c r="A528" s="14"/>
      <c r="B528" s="13"/>
      <c r="C528" s="13"/>
      <c r="D528" s="13"/>
      <c r="E528" s="13"/>
      <c r="F528" s="15"/>
    </row>
    <row r="529" customFormat="false" ht="15" hidden="false" customHeight="false" outlineLevel="0" collapsed="false">
      <c r="A529" s="19"/>
      <c r="B529" s="18"/>
      <c r="C529" s="18"/>
      <c r="D529" s="18"/>
      <c r="E529" s="18"/>
      <c r="F529" s="20"/>
    </row>
    <row r="530" customFormat="false" ht="15" hidden="false" customHeight="false" outlineLevel="0" collapsed="false">
      <c r="A530" s="14"/>
      <c r="B530" s="13"/>
      <c r="C530" s="13"/>
      <c r="D530" s="13"/>
      <c r="E530" s="13"/>
      <c r="F530" s="15"/>
    </row>
    <row r="531" customFormat="false" ht="15" hidden="false" customHeight="false" outlineLevel="0" collapsed="false">
      <c r="A531" s="19"/>
      <c r="B531" s="18"/>
      <c r="C531" s="18"/>
      <c r="D531" s="18"/>
      <c r="E531" s="18"/>
      <c r="F531" s="20"/>
    </row>
    <row r="532" customFormat="false" ht="15" hidden="false" customHeight="false" outlineLevel="0" collapsed="false">
      <c r="A532" s="14"/>
      <c r="B532" s="13"/>
      <c r="C532" s="13"/>
      <c r="D532" s="13"/>
      <c r="E532" s="13"/>
      <c r="F532" s="15"/>
    </row>
    <row r="533" customFormat="false" ht="15" hidden="false" customHeight="false" outlineLevel="0" collapsed="false">
      <c r="A533" s="19"/>
      <c r="B533" s="18"/>
      <c r="C533" s="18"/>
      <c r="D533" s="18"/>
      <c r="E533" s="18"/>
      <c r="F533" s="20"/>
    </row>
    <row r="534" customFormat="false" ht="15" hidden="false" customHeight="false" outlineLevel="0" collapsed="false">
      <c r="A534" s="14"/>
      <c r="B534" s="13"/>
      <c r="C534" s="13"/>
      <c r="D534" s="13"/>
      <c r="E534" s="13"/>
      <c r="F534" s="15"/>
    </row>
    <row r="535" customFormat="false" ht="15" hidden="false" customHeight="false" outlineLevel="0" collapsed="false">
      <c r="A535" s="19"/>
      <c r="B535" s="18"/>
      <c r="C535" s="18"/>
      <c r="D535" s="18"/>
      <c r="E535" s="18"/>
      <c r="F535" s="20"/>
    </row>
    <row r="536" customFormat="false" ht="15" hidden="false" customHeight="false" outlineLevel="0" collapsed="false">
      <c r="A536" s="14"/>
      <c r="B536" s="13"/>
      <c r="C536" s="13"/>
      <c r="D536" s="13"/>
      <c r="E536" s="13"/>
      <c r="F536" s="15"/>
    </row>
    <row r="537" customFormat="false" ht="15" hidden="false" customHeight="false" outlineLevel="0" collapsed="false">
      <c r="A537" s="19"/>
      <c r="B537" s="18"/>
      <c r="C537" s="18"/>
      <c r="D537" s="18"/>
      <c r="E537" s="18"/>
      <c r="F537" s="20"/>
    </row>
    <row r="538" customFormat="false" ht="15" hidden="false" customHeight="false" outlineLevel="0" collapsed="false">
      <c r="A538" s="14"/>
      <c r="B538" s="13"/>
      <c r="C538" s="13"/>
      <c r="D538" s="13"/>
      <c r="E538" s="13"/>
      <c r="F538" s="15"/>
    </row>
    <row r="539" customFormat="false" ht="15" hidden="false" customHeight="false" outlineLevel="0" collapsed="false">
      <c r="A539" s="19"/>
      <c r="B539" s="18"/>
      <c r="C539" s="18"/>
      <c r="D539" s="18"/>
      <c r="E539" s="18"/>
      <c r="F539" s="20"/>
    </row>
    <row r="540" customFormat="false" ht="15" hidden="false" customHeight="false" outlineLevel="0" collapsed="false">
      <c r="A540" s="14"/>
      <c r="B540" s="13"/>
      <c r="C540" s="13"/>
      <c r="D540" s="13"/>
      <c r="E540" s="13"/>
      <c r="F540" s="15"/>
    </row>
    <row r="541" customFormat="false" ht="15" hidden="false" customHeight="false" outlineLevel="0" collapsed="false">
      <c r="A541" s="19"/>
      <c r="B541" s="18"/>
      <c r="C541" s="18"/>
      <c r="D541" s="18"/>
      <c r="E541" s="18"/>
      <c r="F541" s="20"/>
    </row>
    <row r="542" customFormat="false" ht="15" hidden="false" customHeight="false" outlineLevel="0" collapsed="false">
      <c r="A542" s="14"/>
      <c r="B542" s="13"/>
      <c r="C542" s="13"/>
      <c r="D542" s="13"/>
      <c r="E542" s="13"/>
      <c r="F542" s="15"/>
    </row>
    <row r="543" customFormat="false" ht="15" hidden="false" customHeight="false" outlineLevel="0" collapsed="false">
      <c r="A543" s="19"/>
      <c r="B543" s="18"/>
      <c r="C543" s="18"/>
      <c r="D543" s="18"/>
      <c r="E543" s="18"/>
      <c r="F543" s="20"/>
    </row>
    <row r="544" customFormat="false" ht="15" hidden="false" customHeight="false" outlineLevel="0" collapsed="false">
      <c r="A544" s="14"/>
      <c r="B544" s="13"/>
      <c r="C544" s="13"/>
      <c r="D544" s="13"/>
      <c r="E544" s="13"/>
      <c r="F544" s="15"/>
    </row>
    <row r="545" customFormat="false" ht="15" hidden="false" customHeight="false" outlineLevel="0" collapsed="false">
      <c r="A545" s="19"/>
      <c r="B545" s="18"/>
      <c r="C545" s="18"/>
      <c r="D545" s="18"/>
      <c r="E545" s="18"/>
      <c r="F545" s="20"/>
    </row>
    <row r="546" customFormat="false" ht="15" hidden="false" customHeight="false" outlineLevel="0" collapsed="false">
      <c r="A546" s="14"/>
      <c r="B546" s="13"/>
      <c r="C546" s="13"/>
      <c r="D546" s="13"/>
      <c r="E546" s="13"/>
      <c r="F546" s="15"/>
    </row>
    <row r="547" customFormat="false" ht="15" hidden="false" customHeight="false" outlineLevel="0" collapsed="false">
      <c r="A547" s="19"/>
      <c r="B547" s="18"/>
      <c r="C547" s="18"/>
      <c r="D547" s="18"/>
      <c r="E547" s="18"/>
      <c r="F547" s="20"/>
    </row>
    <row r="548" customFormat="false" ht="15" hidden="false" customHeight="false" outlineLevel="0" collapsed="false">
      <c r="A548" s="14"/>
      <c r="B548" s="13"/>
      <c r="C548" s="13"/>
      <c r="D548" s="13"/>
      <c r="E548" s="13"/>
      <c r="F548" s="15"/>
    </row>
    <row r="549" customFormat="false" ht="15" hidden="false" customHeight="false" outlineLevel="0" collapsed="false">
      <c r="A549" s="19"/>
      <c r="B549" s="18"/>
      <c r="C549" s="18"/>
      <c r="D549" s="18"/>
      <c r="E549" s="18"/>
      <c r="F549" s="20"/>
    </row>
    <row r="550" customFormat="false" ht="15" hidden="false" customHeight="false" outlineLevel="0" collapsed="false">
      <c r="A550" s="14"/>
      <c r="B550" s="13"/>
      <c r="C550" s="13"/>
      <c r="D550" s="13"/>
      <c r="E550" s="13"/>
      <c r="F550" s="15"/>
    </row>
    <row r="551" customFormat="false" ht="15" hidden="false" customHeight="false" outlineLevel="0" collapsed="false">
      <c r="A551" s="19"/>
      <c r="B551" s="18"/>
      <c r="C551" s="18"/>
      <c r="D551" s="18"/>
      <c r="E551" s="18"/>
      <c r="F551" s="20"/>
    </row>
    <row r="552" customFormat="false" ht="15" hidden="false" customHeight="false" outlineLevel="0" collapsed="false">
      <c r="A552" s="14"/>
      <c r="B552" s="13"/>
      <c r="C552" s="13"/>
      <c r="D552" s="13"/>
      <c r="E552" s="13"/>
      <c r="F552" s="15"/>
    </row>
    <row r="553" customFormat="false" ht="15" hidden="false" customHeight="false" outlineLevel="0" collapsed="false">
      <c r="A553" s="19"/>
      <c r="B553" s="18"/>
      <c r="C553" s="18"/>
      <c r="D553" s="18"/>
      <c r="E553" s="18"/>
      <c r="F553" s="20"/>
    </row>
    <row r="554" customFormat="false" ht="15" hidden="false" customHeight="false" outlineLevel="0" collapsed="false">
      <c r="A554" s="14"/>
      <c r="B554" s="13"/>
      <c r="C554" s="13"/>
      <c r="D554" s="13"/>
      <c r="E554" s="13"/>
      <c r="F554" s="15"/>
    </row>
    <row r="555" customFormat="false" ht="15" hidden="false" customHeight="false" outlineLevel="0" collapsed="false">
      <c r="A555" s="19"/>
      <c r="B555" s="18"/>
      <c r="C555" s="18"/>
      <c r="D555" s="18"/>
      <c r="E555" s="18"/>
      <c r="F555" s="20"/>
    </row>
    <row r="556" customFormat="false" ht="15" hidden="false" customHeight="false" outlineLevel="0" collapsed="false">
      <c r="A556" s="14"/>
      <c r="B556" s="13"/>
      <c r="C556" s="13"/>
      <c r="D556" s="13"/>
      <c r="E556" s="13"/>
      <c r="F556" s="15"/>
    </row>
    <row r="557" customFormat="false" ht="15" hidden="false" customHeight="false" outlineLevel="0" collapsed="false">
      <c r="A557" s="19"/>
      <c r="B557" s="18"/>
      <c r="C557" s="18"/>
      <c r="D557" s="18"/>
      <c r="E557" s="18"/>
      <c r="F557" s="20"/>
    </row>
    <row r="558" customFormat="false" ht="15" hidden="false" customHeight="false" outlineLevel="0" collapsed="false">
      <c r="A558" s="14"/>
      <c r="B558" s="13"/>
      <c r="C558" s="13"/>
      <c r="D558" s="13"/>
      <c r="E558" s="13"/>
      <c r="F558" s="15"/>
    </row>
    <row r="559" customFormat="false" ht="15" hidden="false" customHeight="false" outlineLevel="0" collapsed="false">
      <c r="A559" s="19"/>
      <c r="B559" s="18"/>
      <c r="C559" s="18"/>
      <c r="D559" s="18"/>
      <c r="E559" s="18"/>
      <c r="F559" s="20"/>
    </row>
    <row r="560" customFormat="false" ht="15" hidden="false" customHeight="false" outlineLevel="0" collapsed="false">
      <c r="A560" s="14"/>
      <c r="B560" s="13"/>
      <c r="C560" s="13"/>
      <c r="D560" s="13"/>
      <c r="E560" s="13"/>
      <c r="F560" s="15"/>
    </row>
    <row r="561" customFormat="false" ht="15" hidden="false" customHeight="false" outlineLevel="0" collapsed="false">
      <c r="A561" s="19"/>
      <c r="B561" s="18"/>
      <c r="C561" s="18"/>
      <c r="D561" s="18"/>
      <c r="E561" s="18"/>
      <c r="F561" s="20"/>
    </row>
    <row r="562" customFormat="false" ht="15" hidden="false" customHeight="false" outlineLevel="0" collapsed="false">
      <c r="A562" s="14"/>
      <c r="B562" s="13"/>
      <c r="C562" s="13"/>
      <c r="D562" s="13"/>
      <c r="E562" s="13"/>
      <c r="F562" s="15"/>
    </row>
    <row r="563" customFormat="false" ht="15" hidden="false" customHeight="false" outlineLevel="0" collapsed="false">
      <c r="A563" s="19"/>
      <c r="B563" s="18"/>
      <c r="C563" s="18"/>
      <c r="D563" s="18"/>
      <c r="E563" s="18"/>
      <c r="F563" s="20"/>
    </row>
    <row r="564" customFormat="false" ht="15" hidden="false" customHeight="false" outlineLevel="0" collapsed="false">
      <c r="A564" s="14"/>
      <c r="B564" s="13"/>
      <c r="C564" s="13"/>
      <c r="D564" s="13"/>
      <c r="E564" s="13"/>
      <c r="F564" s="15"/>
    </row>
    <row r="565" customFormat="false" ht="15" hidden="false" customHeight="false" outlineLevel="0" collapsed="false">
      <c r="A565" s="19"/>
      <c r="B565" s="18"/>
      <c r="C565" s="18"/>
      <c r="D565" s="18"/>
      <c r="E565" s="18"/>
      <c r="F565" s="20"/>
    </row>
    <row r="566" customFormat="false" ht="15" hidden="false" customHeight="false" outlineLevel="0" collapsed="false">
      <c r="A566" s="14"/>
      <c r="B566" s="13"/>
      <c r="C566" s="13"/>
      <c r="D566" s="13"/>
      <c r="E566" s="13"/>
      <c r="F566" s="15"/>
    </row>
    <row r="567" customFormat="false" ht="15" hidden="false" customHeight="false" outlineLevel="0" collapsed="false">
      <c r="A567" s="19"/>
      <c r="B567" s="18"/>
      <c r="C567" s="18"/>
      <c r="D567" s="18"/>
      <c r="E567" s="18"/>
      <c r="F567" s="20"/>
    </row>
    <row r="568" customFormat="false" ht="15" hidden="false" customHeight="false" outlineLevel="0" collapsed="false">
      <c r="A568" s="14"/>
      <c r="B568" s="13"/>
      <c r="C568" s="13"/>
      <c r="D568" s="13"/>
      <c r="E568" s="13"/>
      <c r="F568" s="15"/>
    </row>
    <row r="569" customFormat="false" ht="15" hidden="false" customHeight="false" outlineLevel="0" collapsed="false">
      <c r="A569" s="19"/>
      <c r="B569" s="18"/>
      <c r="C569" s="18"/>
      <c r="D569" s="18"/>
      <c r="E569" s="18"/>
      <c r="F569" s="20"/>
    </row>
    <row r="570" customFormat="false" ht="15" hidden="false" customHeight="false" outlineLevel="0" collapsed="false">
      <c r="A570" s="14"/>
      <c r="B570" s="13"/>
      <c r="C570" s="13"/>
      <c r="D570" s="13"/>
      <c r="E570" s="13"/>
      <c r="F570" s="15"/>
    </row>
    <row r="571" customFormat="false" ht="15" hidden="false" customHeight="false" outlineLevel="0" collapsed="false">
      <c r="A571" s="19"/>
      <c r="B571" s="18"/>
      <c r="C571" s="18"/>
      <c r="D571" s="18"/>
      <c r="E571" s="18"/>
      <c r="F571" s="20"/>
    </row>
    <row r="572" customFormat="false" ht="15" hidden="false" customHeight="false" outlineLevel="0" collapsed="false">
      <c r="A572" s="14"/>
      <c r="B572" s="13"/>
      <c r="C572" s="13"/>
      <c r="D572" s="13"/>
      <c r="E572" s="13"/>
      <c r="F572" s="15"/>
    </row>
    <row r="573" customFormat="false" ht="15" hidden="false" customHeight="false" outlineLevel="0" collapsed="false">
      <c r="A573" s="19"/>
      <c r="B573" s="18"/>
      <c r="C573" s="18"/>
      <c r="D573" s="18"/>
      <c r="E573" s="18"/>
      <c r="F573" s="20"/>
    </row>
    <row r="574" customFormat="false" ht="15" hidden="false" customHeight="false" outlineLevel="0" collapsed="false">
      <c r="A574" s="14"/>
      <c r="B574" s="13"/>
      <c r="C574" s="13"/>
      <c r="D574" s="13"/>
      <c r="E574" s="13"/>
      <c r="F574" s="15"/>
    </row>
    <row r="575" customFormat="false" ht="15" hidden="false" customHeight="false" outlineLevel="0" collapsed="false">
      <c r="A575" s="19"/>
      <c r="B575" s="18"/>
      <c r="C575" s="18"/>
      <c r="D575" s="18"/>
      <c r="E575" s="18"/>
      <c r="F575" s="20"/>
    </row>
    <row r="576" customFormat="false" ht="15" hidden="false" customHeight="false" outlineLevel="0" collapsed="false">
      <c r="A576" s="14"/>
      <c r="B576" s="13"/>
      <c r="C576" s="13"/>
      <c r="D576" s="13"/>
      <c r="E576" s="13"/>
      <c r="F576" s="15"/>
    </row>
    <row r="577" customFormat="false" ht="15" hidden="false" customHeight="false" outlineLevel="0" collapsed="false">
      <c r="A577" s="19"/>
      <c r="B577" s="18"/>
      <c r="C577" s="18"/>
      <c r="D577" s="18"/>
      <c r="E577" s="18"/>
      <c r="F577" s="20"/>
    </row>
    <row r="578" customFormat="false" ht="15" hidden="false" customHeight="false" outlineLevel="0" collapsed="false">
      <c r="A578" s="14"/>
      <c r="B578" s="13"/>
      <c r="C578" s="13"/>
      <c r="D578" s="13"/>
      <c r="E578" s="13"/>
      <c r="F578" s="15"/>
    </row>
    <row r="579" customFormat="false" ht="15" hidden="false" customHeight="false" outlineLevel="0" collapsed="false">
      <c r="A579" s="19"/>
      <c r="B579" s="18"/>
      <c r="C579" s="18"/>
      <c r="D579" s="18"/>
      <c r="E579" s="18"/>
      <c r="F579" s="20"/>
    </row>
    <row r="580" customFormat="false" ht="15" hidden="false" customHeight="false" outlineLevel="0" collapsed="false">
      <c r="A580" s="14"/>
      <c r="B580" s="13"/>
      <c r="C580" s="13"/>
      <c r="D580" s="13"/>
      <c r="E580" s="13"/>
      <c r="F580" s="15"/>
    </row>
    <row r="581" customFormat="false" ht="15" hidden="false" customHeight="false" outlineLevel="0" collapsed="false">
      <c r="A581" s="19"/>
      <c r="B581" s="18"/>
      <c r="C581" s="18"/>
      <c r="D581" s="18"/>
      <c r="E581" s="18"/>
      <c r="F581" s="20"/>
    </row>
    <row r="582" customFormat="false" ht="15" hidden="false" customHeight="false" outlineLevel="0" collapsed="false">
      <c r="A582" s="14"/>
      <c r="B582" s="13"/>
      <c r="C582" s="13"/>
      <c r="D582" s="13"/>
      <c r="E582" s="13"/>
      <c r="F582" s="15"/>
    </row>
    <row r="583" customFormat="false" ht="15" hidden="false" customHeight="false" outlineLevel="0" collapsed="false">
      <c r="A583" s="19"/>
      <c r="B583" s="18"/>
      <c r="C583" s="18"/>
      <c r="D583" s="18"/>
      <c r="E583" s="18"/>
      <c r="F583" s="20"/>
    </row>
    <row r="584" customFormat="false" ht="15" hidden="false" customHeight="false" outlineLevel="0" collapsed="false">
      <c r="A584" s="14"/>
      <c r="B584" s="13"/>
      <c r="C584" s="13"/>
      <c r="D584" s="13"/>
      <c r="E584" s="13"/>
      <c r="F584" s="15"/>
    </row>
    <row r="585" customFormat="false" ht="15" hidden="false" customHeight="false" outlineLevel="0" collapsed="false">
      <c r="A585" s="19"/>
      <c r="B585" s="18"/>
      <c r="C585" s="18"/>
      <c r="D585" s="18"/>
      <c r="E585" s="18"/>
      <c r="F585" s="20"/>
    </row>
    <row r="586" customFormat="false" ht="15" hidden="false" customHeight="false" outlineLevel="0" collapsed="false">
      <c r="A586" s="14"/>
      <c r="B586" s="13"/>
      <c r="C586" s="13"/>
      <c r="D586" s="13"/>
      <c r="E586" s="13"/>
      <c r="F586" s="15"/>
    </row>
    <row r="587" customFormat="false" ht="15" hidden="false" customHeight="false" outlineLevel="0" collapsed="false">
      <c r="A587" s="19"/>
      <c r="B587" s="18"/>
      <c r="C587" s="18"/>
      <c r="D587" s="18"/>
      <c r="E587" s="18"/>
      <c r="F587" s="20"/>
    </row>
    <row r="588" customFormat="false" ht="15" hidden="false" customHeight="false" outlineLevel="0" collapsed="false">
      <c r="A588" s="14"/>
      <c r="B588" s="13"/>
      <c r="C588" s="13"/>
      <c r="D588" s="13"/>
      <c r="E588" s="13"/>
      <c r="F588" s="15"/>
    </row>
    <row r="589" customFormat="false" ht="15" hidden="false" customHeight="false" outlineLevel="0" collapsed="false">
      <c r="A589" s="19"/>
      <c r="B589" s="18"/>
      <c r="C589" s="18"/>
      <c r="D589" s="18"/>
      <c r="E589" s="18"/>
      <c r="F589" s="20"/>
    </row>
    <row r="590" customFormat="false" ht="15" hidden="false" customHeight="false" outlineLevel="0" collapsed="false">
      <c r="A590" s="14"/>
      <c r="B590" s="13"/>
      <c r="C590" s="13"/>
      <c r="D590" s="13"/>
      <c r="E590" s="13"/>
      <c r="F590" s="15"/>
    </row>
    <row r="591" customFormat="false" ht="15" hidden="false" customHeight="false" outlineLevel="0" collapsed="false">
      <c r="A591" s="19"/>
      <c r="B591" s="18"/>
      <c r="C591" s="18"/>
      <c r="D591" s="18"/>
      <c r="E591" s="18"/>
      <c r="F591" s="20"/>
    </row>
    <row r="592" customFormat="false" ht="15" hidden="false" customHeight="false" outlineLevel="0" collapsed="false">
      <c r="A592" s="14"/>
      <c r="B592" s="13"/>
      <c r="C592" s="13"/>
      <c r="D592" s="13"/>
      <c r="E592" s="13"/>
      <c r="F592" s="15"/>
    </row>
    <row r="593" customFormat="false" ht="15" hidden="false" customHeight="false" outlineLevel="0" collapsed="false">
      <c r="A593" s="19"/>
      <c r="B593" s="18"/>
      <c r="C593" s="18"/>
      <c r="D593" s="18"/>
      <c r="E593" s="18"/>
      <c r="F593" s="20"/>
    </row>
    <row r="594" customFormat="false" ht="15" hidden="false" customHeight="false" outlineLevel="0" collapsed="false">
      <c r="A594" s="14"/>
      <c r="B594" s="13"/>
      <c r="C594" s="13"/>
      <c r="D594" s="13"/>
      <c r="E594" s="13"/>
      <c r="F594" s="15"/>
    </row>
    <row r="595" customFormat="false" ht="15" hidden="false" customHeight="false" outlineLevel="0" collapsed="false">
      <c r="A595" s="19"/>
      <c r="B595" s="18"/>
      <c r="C595" s="18"/>
      <c r="D595" s="18"/>
      <c r="E595" s="18"/>
      <c r="F595" s="20"/>
    </row>
    <row r="596" customFormat="false" ht="15" hidden="false" customHeight="false" outlineLevel="0" collapsed="false">
      <c r="A596" s="14"/>
      <c r="B596" s="13"/>
      <c r="C596" s="13"/>
      <c r="D596" s="13"/>
      <c r="E596" s="13"/>
      <c r="F596" s="15"/>
    </row>
    <row r="597" customFormat="false" ht="15" hidden="false" customHeight="false" outlineLevel="0" collapsed="false">
      <c r="A597" s="19"/>
      <c r="B597" s="18"/>
      <c r="C597" s="18"/>
      <c r="D597" s="18"/>
      <c r="E597" s="18"/>
      <c r="F597" s="20"/>
    </row>
    <row r="598" customFormat="false" ht="15" hidden="false" customHeight="false" outlineLevel="0" collapsed="false">
      <c r="A598" s="14"/>
      <c r="B598" s="13"/>
      <c r="C598" s="13"/>
      <c r="D598" s="13"/>
      <c r="E598" s="13"/>
      <c r="F598" s="15"/>
    </row>
    <row r="599" customFormat="false" ht="15" hidden="false" customHeight="false" outlineLevel="0" collapsed="false">
      <c r="A599" s="19"/>
      <c r="B599" s="18"/>
      <c r="C599" s="18"/>
      <c r="D599" s="18"/>
      <c r="E599" s="18"/>
      <c r="F599" s="20"/>
    </row>
    <row r="600" customFormat="false" ht="15" hidden="false" customHeight="false" outlineLevel="0" collapsed="false">
      <c r="A600" s="14"/>
      <c r="B600" s="13"/>
      <c r="C600" s="13"/>
      <c r="D600" s="13"/>
      <c r="E600" s="13"/>
      <c r="F600" s="15"/>
    </row>
    <row r="601" customFormat="false" ht="15" hidden="false" customHeight="false" outlineLevel="0" collapsed="false">
      <c r="A601" s="19"/>
      <c r="B601" s="18"/>
      <c r="C601" s="18"/>
      <c r="D601" s="18"/>
      <c r="E601" s="18"/>
      <c r="F601" s="20"/>
    </row>
    <row r="602" customFormat="false" ht="15" hidden="false" customHeight="false" outlineLevel="0" collapsed="false">
      <c r="A602" s="14"/>
      <c r="B602" s="13"/>
      <c r="C602" s="13"/>
      <c r="D602" s="13"/>
      <c r="E602" s="13"/>
      <c r="F602" s="15"/>
    </row>
    <row r="603" customFormat="false" ht="15" hidden="false" customHeight="false" outlineLevel="0" collapsed="false">
      <c r="A603" s="19"/>
      <c r="B603" s="18"/>
      <c r="C603" s="18"/>
      <c r="D603" s="18"/>
      <c r="E603" s="18"/>
      <c r="F603" s="20"/>
    </row>
    <row r="604" customFormat="false" ht="15" hidden="false" customHeight="false" outlineLevel="0" collapsed="false">
      <c r="A604" s="14"/>
      <c r="B604" s="13"/>
      <c r="C604" s="13"/>
      <c r="D604" s="13"/>
      <c r="E604" s="13"/>
      <c r="F604" s="15"/>
    </row>
    <row r="605" customFormat="false" ht="15" hidden="false" customHeight="false" outlineLevel="0" collapsed="false">
      <c r="A605" s="19"/>
      <c r="B605" s="18"/>
      <c r="C605" s="18"/>
      <c r="D605" s="18"/>
      <c r="E605" s="18"/>
      <c r="F605" s="20"/>
    </row>
    <row r="606" customFormat="false" ht="15" hidden="false" customHeight="false" outlineLevel="0" collapsed="false">
      <c r="A606" s="14"/>
      <c r="B606" s="13"/>
      <c r="C606" s="13"/>
      <c r="D606" s="13"/>
      <c r="E606" s="13"/>
      <c r="F606" s="15"/>
    </row>
    <row r="607" customFormat="false" ht="15" hidden="false" customHeight="false" outlineLevel="0" collapsed="false">
      <c r="A607" s="19"/>
      <c r="B607" s="18"/>
      <c r="C607" s="18"/>
      <c r="D607" s="18"/>
      <c r="E607" s="18"/>
      <c r="F607" s="20"/>
    </row>
    <row r="608" customFormat="false" ht="15" hidden="false" customHeight="false" outlineLevel="0" collapsed="false">
      <c r="A608" s="14"/>
      <c r="B608" s="13"/>
      <c r="C608" s="13"/>
      <c r="D608" s="13"/>
      <c r="E608" s="13"/>
      <c r="F608" s="15"/>
    </row>
    <row r="609" customFormat="false" ht="15" hidden="false" customHeight="false" outlineLevel="0" collapsed="false">
      <c r="A609" s="19"/>
      <c r="B609" s="18"/>
      <c r="C609" s="18"/>
      <c r="D609" s="18"/>
      <c r="E609" s="18"/>
      <c r="F609" s="20"/>
    </row>
    <row r="610" customFormat="false" ht="15" hidden="false" customHeight="false" outlineLevel="0" collapsed="false">
      <c r="A610" s="14"/>
      <c r="B610" s="13"/>
      <c r="C610" s="13"/>
      <c r="D610" s="13"/>
      <c r="E610" s="13"/>
      <c r="F610" s="15"/>
    </row>
    <row r="611" customFormat="false" ht="15" hidden="false" customHeight="false" outlineLevel="0" collapsed="false">
      <c r="A611" s="19"/>
      <c r="B611" s="18"/>
      <c r="C611" s="18"/>
      <c r="D611" s="18"/>
      <c r="E611" s="18"/>
      <c r="F611" s="20"/>
    </row>
    <row r="612" customFormat="false" ht="15" hidden="false" customHeight="false" outlineLevel="0" collapsed="false">
      <c r="A612" s="14"/>
      <c r="B612" s="13"/>
      <c r="C612" s="13"/>
      <c r="D612" s="13"/>
      <c r="E612" s="13"/>
      <c r="F612" s="15"/>
    </row>
    <row r="613" customFormat="false" ht="15" hidden="false" customHeight="false" outlineLevel="0" collapsed="false">
      <c r="A613" s="19"/>
      <c r="B613" s="18"/>
      <c r="C613" s="18"/>
      <c r="D613" s="18"/>
      <c r="E613" s="18"/>
      <c r="F613" s="20"/>
    </row>
    <row r="614" customFormat="false" ht="15" hidden="false" customHeight="false" outlineLevel="0" collapsed="false">
      <c r="A614" s="14"/>
      <c r="B614" s="13"/>
      <c r="C614" s="13"/>
      <c r="D614" s="13"/>
      <c r="E614" s="13"/>
      <c r="F614" s="15"/>
    </row>
    <row r="615" customFormat="false" ht="15" hidden="false" customHeight="false" outlineLevel="0" collapsed="false">
      <c r="A615" s="19"/>
      <c r="B615" s="18"/>
      <c r="C615" s="18"/>
      <c r="D615" s="18"/>
      <c r="E615" s="18"/>
      <c r="F615" s="20"/>
    </row>
    <row r="616" customFormat="false" ht="15" hidden="false" customHeight="false" outlineLevel="0" collapsed="false">
      <c r="A616" s="14"/>
      <c r="B616" s="13"/>
      <c r="C616" s="13"/>
      <c r="D616" s="13"/>
      <c r="E616" s="13"/>
      <c r="F616" s="15"/>
    </row>
    <row r="617" customFormat="false" ht="15" hidden="false" customHeight="false" outlineLevel="0" collapsed="false">
      <c r="A617" s="19"/>
      <c r="B617" s="18"/>
      <c r="C617" s="18"/>
      <c r="D617" s="18"/>
      <c r="E617" s="18"/>
      <c r="F617" s="20"/>
    </row>
    <row r="618" customFormat="false" ht="15" hidden="false" customHeight="false" outlineLevel="0" collapsed="false">
      <c r="A618" s="14"/>
      <c r="B618" s="13"/>
      <c r="C618" s="13"/>
      <c r="D618" s="13"/>
      <c r="E618" s="13"/>
      <c r="F618" s="15"/>
    </row>
    <row r="619" customFormat="false" ht="15" hidden="false" customHeight="false" outlineLevel="0" collapsed="false">
      <c r="A619" s="19"/>
      <c r="B619" s="18"/>
      <c r="C619" s="18"/>
      <c r="D619" s="18"/>
      <c r="E619" s="18"/>
      <c r="F619" s="20"/>
    </row>
    <row r="620" customFormat="false" ht="15" hidden="false" customHeight="false" outlineLevel="0" collapsed="false">
      <c r="A620" s="14"/>
      <c r="B620" s="13"/>
      <c r="C620" s="13"/>
      <c r="D620" s="13"/>
      <c r="E620" s="13"/>
      <c r="F620" s="15"/>
    </row>
    <row r="621" customFormat="false" ht="15" hidden="false" customHeight="false" outlineLevel="0" collapsed="false">
      <c r="A621" s="19"/>
      <c r="B621" s="18"/>
      <c r="C621" s="18"/>
      <c r="D621" s="18"/>
      <c r="E621" s="18"/>
      <c r="F621" s="20"/>
    </row>
    <row r="622" customFormat="false" ht="15" hidden="false" customHeight="false" outlineLevel="0" collapsed="false">
      <c r="A622" s="14"/>
      <c r="B622" s="13"/>
      <c r="C622" s="13"/>
      <c r="D622" s="13"/>
      <c r="E622" s="13"/>
      <c r="F622" s="15"/>
    </row>
    <row r="623" customFormat="false" ht="15" hidden="false" customHeight="false" outlineLevel="0" collapsed="false">
      <c r="A623" s="19"/>
      <c r="B623" s="18"/>
      <c r="C623" s="18"/>
      <c r="D623" s="18"/>
      <c r="E623" s="18"/>
      <c r="F623" s="20"/>
    </row>
    <row r="624" customFormat="false" ht="15" hidden="false" customHeight="false" outlineLevel="0" collapsed="false">
      <c r="A624" s="14"/>
      <c r="B624" s="13"/>
      <c r="C624" s="13"/>
      <c r="D624" s="13"/>
      <c r="E624" s="13"/>
      <c r="F624" s="15"/>
    </row>
    <row r="625" customFormat="false" ht="15" hidden="false" customHeight="false" outlineLevel="0" collapsed="false">
      <c r="A625" s="19"/>
      <c r="B625" s="18"/>
      <c r="C625" s="18"/>
      <c r="D625" s="18"/>
      <c r="E625" s="18"/>
      <c r="F625" s="20"/>
    </row>
    <row r="626" customFormat="false" ht="15" hidden="false" customHeight="false" outlineLevel="0" collapsed="false">
      <c r="A626" s="14"/>
      <c r="B626" s="13"/>
      <c r="C626" s="13"/>
      <c r="D626" s="13"/>
      <c r="E626" s="13"/>
      <c r="F626" s="15"/>
    </row>
    <row r="627" customFormat="false" ht="15" hidden="false" customHeight="false" outlineLevel="0" collapsed="false">
      <c r="A627" s="19"/>
      <c r="B627" s="18"/>
      <c r="C627" s="18"/>
      <c r="D627" s="18"/>
      <c r="E627" s="18"/>
      <c r="F627" s="20"/>
    </row>
    <row r="628" customFormat="false" ht="15" hidden="false" customHeight="false" outlineLevel="0" collapsed="false">
      <c r="A628" s="14"/>
      <c r="B628" s="13"/>
      <c r="C628" s="13"/>
      <c r="D628" s="13"/>
      <c r="E628" s="13"/>
      <c r="F628" s="15"/>
    </row>
    <row r="629" customFormat="false" ht="15" hidden="false" customHeight="false" outlineLevel="0" collapsed="false">
      <c r="A629" s="19"/>
      <c r="B629" s="18"/>
      <c r="C629" s="18"/>
      <c r="D629" s="18"/>
      <c r="E629" s="18"/>
      <c r="F629" s="20"/>
    </row>
    <row r="630" customFormat="false" ht="15" hidden="false" customHeight="false" outlineLevel="0" collapsed="false">
      <c r="A630" s="14"/>
      <c r="B630" s="13"/>
      <c r="C630" s="13"/>
      <c r="D630" s="13"/>
      <c r="E630" s="13"/>
      <c r="F630" s="15"/>
    </row>
    <row r="631" customFormat="false" ht="15" hidden="false" customHeight="false" outlineLevel="0" collapsed="false">
      <c r="A631" s="19"/>
      <c r="B631" s="18"/>
      <c r="C631" s="18"/>
      <c r="D631" s="18"/>
      <c r="E631" s="18"/>
      <c r="F631" s="20"/>
    </row>
    <row r="632" customFormat="false" ht="15" hidden="false" customHeight="false" outlineLevel="0" collapsed="false">
      <c r="A632" s="14"/>
      <c r="B632" s="13"/>
      <c r="C632" s="13"/>
      <c r="D632" s="13"/>
      <c r="E632" s="13"/>
      <c r="F632" s="15"/>
    </row>
    <row r="633" customFormat="false" ht="15" hidden="false" customHeight="false" outlineLevel="0" collapsed="false">
      <c r="A633" s="19"/>
      <c r="B633" s="18"/>
      <c r="C633" s="18"/>
      <c r="D633" s="18"/>
      <c r="E633" s="18"/>
      <c r="F633" s="20"/>
    </row>
    <row r="634" customFormat="false" ht="15" hidden="false" customHeight="false" outlineLevel="0" collapsed="false">
      <c r="A634" s="14"/>
      <c r="B634" s="13"/>
      <c r="C634" s="13"/>
      <c r="D634" s="13"/>
      <c r="E634" s="13"/>
      <c r="F634" s="15"/>
    </row>
    <row r="635" customFormat="false" ht="15" hidden="false" customHeight="false" outlineLevel="0" collapsed="false">
      <c r="A635" s="19"/>
      <c r="B635" s="18"/>
      <c r="C635" s="18"/>
      <c r="D635" s="18"/>
      <c r="E635" s="18"/>
      <c r="F635" s="20"/>
    </row>
    <row r="636" customFormat="false" ht="15" hidden="false" customHeight="false" outlineLevel="0" collapsed="false">
      <c r="A636" s="14"/>
      <c r="B636" s="13"/>
      <c r="C636" s="13"/>
      <c r="D636" s="13"/>
      <c r="E636" s="13"/>
      <c r="F636" s="15"/>
    </row>
    <row r="637" customFormat="false" ht="15" hidden="false" customHeight="false" outlineLevel="0" collapsed="false">
      <c r="A637" s="19"/>
      <c r="B637" s="18"/>
      <c r="C637" s="18"/>
      <c r="D637" s="18"/>
      <c r="E637" s="18"/>
      <c r="F637" s="20"/>
    </row>
    <row r="638" customFormat="false" ht="15" hidden="false" customHeight="false" outlineLevel="0" collapsed="false">
      <c r="A638" s="14"/>
      <c r="B638" s="13"/>
      <c r="C638" s="13"/>
      <c r="D638" s="13"/>
      <c r="E638" s="13"/>
      <c r="F638" s="15"/>
    </row>
    <row r="639" customFormat="false" ht="15" hidden="false" customHeight="false" outlineLevel="0" collapsed="false">
      <c r="A639" s="19"/>
      <c r="B639" s="18"/>
      <c r="C639" s="18"/>
      <c r="D639" s="18"/>
      <c r="E639" s="18"/>
      <c r="F639" s="20"/>
    </row>
    <row r="640" customFormat="false" ht="15" hidden="false" customHeight="false" outlineLevel="0" collapsed="false">
      <c r="A640" s="14"/>
      <c r="B640" s="13"/>
      <c r="C640" s="13"/>
      <c r="D640" s="13"/>
      <c r="E640" s="13"/>
      <c r="F640" s="15"/>
    </row>
    <row r="641" customFormat="false" ht="15" hidden="false" customHeight="false" outlineLevel="0" collapsed="false">
      <c r="A641" s="19"/>
      <c r="B641" s="18"/>
      <c r="C641" s="18"/>
      <c r="D641" s="18"/>
      <c r="E641" s="18"/>
      <c r="F641" s="20"/>
    </row>
    <row r="642" customFormat="false" ht="15" hidden="false" customHeight="false" outlineLevel="0" collapsed="false">
      <c r="A642" s="14"/>
      <c r="B642" s="13"/>
      <c r="C642" s="13"/>
      <c r="D642" s="13"/>
      <c r="E642" s="13"/>
      <c r="F642" s="15"/>
    </row>
    <row r="643" customFormat="false" ht="15" hidden="false" customHeight="false" outlineLevel="0" collapsed="false">
      <c r="A643" s="19"/>
      <c r="B643" s="18"/>
      <c r="C643" s="18"/>
      <c r="D643" s="18"/>
      <c r="E643" s="18"/>
      <c r="F643" s="20"/>
    </row>
    <row r="644" customFormat="false" ht="15" hidden="false" customHeight="false" outlineLevel="0" collapsed="false">
      <c r="A644" s="14"/>
      <c r="B644" s="13"/>
      <c r="C644" s="13"/>
      <c r="D644" s="13"/>
      <c r="E644" s="13"/>
      <c r="F644" s="15"/>
    </row>
    <row r="645" customFormat="false" ht="15" hidden="false" customHeight="false" outlineLevel="0" collapsed="false">
      <c r="A645" s="19"/>
      <c r="B645" s="18"/>
      <c r="C645" s="18"/>
      <c r="D645" s="18"/>
      <c r="E645" s="18"/>
      <c r="F645" s="20"/>
    </row>
    <row r="646" customFormat="false" ht="15" hidden="false" customHeight="false" outlineLevel="0" collapsed="false">
      <c r="A646" s="14"/>
      <c r="B646" s="13"/>
      <c r="C646" s="13"/>
      <c r="D646" s="13"/>
      <c r="E646" s="13"/>
      <c r="F646" s="15"/>
    </row>
    <row r="647" customFormat="false" ht="15" hidden="false" customHeight="false" outlineLevel="0" collapsed="false">
      <c r="A647" s="19"/>
      <c r="B647" s="18"/>
      <c r="C647" s="18"/>
      <c r="D647" s="18"/>
      <c r="E647" s="18"/>
      <c r="F647" s="20"/>
    </row>
    <row r="648" customFormat="false" ht="15" hidden="false" customHeight="false" outlineLevel="0" collapsed="false">
      <c r="A648" s="14"/>
      <c r="B648" s="13"/>
      <c r="C648" s="13"/>
      <c r="D648" s="13"/>
      <c r="E648" s="13"/>
      <c r="F648" s="15"/>
    </row>
    <row r="649" customFormat="false" ht="15" hidden="false" customHeight="false" outlineLevel="0" collapsed="false">
      <c r="A649" s="19"/>
      <c r="B649" s="18"/>
      <c r="C649" s="18"/>
      <c r="D649" s="18"/>
      <c r="E649" s="18"/>
      <c r="F649" s="20"/>
    </row>
    <row r="650" customFormat="false" ht="15" hidden="false" customHeight="false" outlineLevel="0" collapsed="false">
      <c r="A650" s="14"/>
      <c r="B650" s="13"/>
      <c r="C650" s="13"/>
      <c r="D650" s="13"/>
      <c r="E650" s="13"/>
      <c r="F650" s="15"/>
    </row>
    <row r="651" customFormat="false" ht="15" hidden="false" customHeight="false" outlineLevel="0" collapsed="false">
      <c r="A651" s="19"/>
      <c r="B651" s="18"/>
      <c r="C651" s="18"/>
      <c r="D651" s="18"/>
      <c r="E651" s="18"/>
      <c r="F651" s="20"/>
    </row>
    <row r="652" customFormat="false" ht="15" hidden="false" customHeight="false" outlineLevel="0" collapsed="false">
      <c r="A652" s="14"/>
      <c r="B652" s="13"/>
      <c r="C652" s="13"/>
      <c r="D652" s="13"/>
      <c r="E652" s="13"/>
      <c r="F652" s="15"/>
    </row>
    <row r="653" customFormat="false" ht="15" hidden="false" customHeight="false" outlineLevel="0" collapsed="false">
      <c r="A653" s="19"/>
      <c r="B653" s="18"/>
      <c r="C653" s="18"/>
      <c r="D653" s="18"/>
      <c r="E653" s="18"/>
      <c r="F653" s="20"/>
    </row>
    <row r="654" customFormat="false" ht="15" hidden="false" customHeight="false" outlineLevel="0" collapsed="false">
      <c r="A654" s="14"/>
      <c r="B654" s="13"/>
      <c r="C654" s="13"/>
      <c r="D654" s="13"/>
      <c r="E654" s="13"/>
      <c r="F654" s="15"/>
    </row>
    <row r="655" customFormat="false" ht="15" hidden="false" customHeight="false" outlineLevel="0" collapsed="false">
      <c r="A655" s="19"/>
      <c r="B655" s="18"/>
      <c r="C655" s="18"/>
      <c r="D655" s="18"/>
      <c r="E655" s="18"/>
      <c r="F655" s="20"/>
    </row>
    <row r="656" customFormat="false" ht="15" hidden="false" customHeight="false" outlineLevel="0" collapsed="false">
      <c r="A656" s="14"/>
      <c r="B656" s="13"/>
      <c r="C656" s="13"/>
      <c r="D656" s="13"/>
      <c r="E656" s="13"/>
      <c r="F656" s="15"/>
    </row>
    <row r="657" customFormat="false" ht="15" hidden="false" customHeight="false" outlineLevel="0" collapsed="false">
      <c r="A657" s="19"/>
      <c r="B657" s="18"/>
      <c r="C657" s="18"/>
      <c r="D657" s="18"/>
      <c r="E657" s="18"/>
      <c r="F657" s="20"/>
    </row>
    <row r="658" customFormat="false" ht="15" hidden="false" customHeight="false" outlineLevel="0" collapsed="false">
      <c r="A658" s="14"/>
      <c r="B658" s="13"/>
      <c r="C658" s="13"/>
      <c r="D658" s="13"/>
      <c r="E658" s="13"/>
      <c r="F658" s="15"/>
    </row>
    <row r="659" customFormat="false" ht="15" hidden="false" customHeight="false" outlineLevel="0" collapsed="false">
      <c r="A659" s="19"/>
      <c r="B659" s="18"/>
      <c r="C659" s="18"/>
      <c r="D659" s="18"/>
      <c r="E659" s="18"/>
      <c r="F659" s="20"/>
    </row>
    <row r="660" customFormat="false" ht="15" hidden="false" customHeight="false" outlineLevel="0" collapsed="false">
      <c r="A660" s="14"/>
      <c r="B660" s="13"/>
      <c r="C660" s="13"/>
      <c r="D660" s="13"/>
      <c r="E660" s="13"/>
      <c r="F660" s="15"/>
    </row>
    <row r="661" customFormat="false" ht="15" hidden="false" customHeight="false" outlineLevel="0" collapsed="false">
      <c r="A661" s="19"/>
      <c r="B661" s="18"/>
      <c r="C661" s="18"/>
      <c r="D661" s="18"/>
      <c r="E661" s="18"/>
      <c r="F661" s="20"/>
    </row>
    <row r="662" customFormat="false" ht="15" hidden="false" customHeight="false" outlineLevel="0" collapsed="false">
      <c r="A662" s="14"/>
      <c r="B662" s="13"/>
      <c r="C662" s="13"/>
      <c r="D662" s="13"/>
      <c r="E662" s="13"/>
      <c r="F662" s="15"/>
    </row>
    <row r="663" customFormat="false" ht="15" hidden="false" customHeight="false" outlineLevel="0" collapsed="false">
      <c r="A663" s="19"/>
      <c r="B663" s="18"/>
      <c r="C663" s="18"/>
      <c r="D663" s="18"/>
      <c r="E663" s="18"/>
      <c r="F663" s="20"/>
    </row>
    <row r="664" customFormat="false" ht="15" hidden="false" customHeight="false" outlineLevel="0" collapsed="false">
      <c r="A664" s="14"/>
      <c r="B664" s="13"/>
      <c r="C664" s="13"/>
      <c r="D664" s="13"/>
      <c r="E664" s="13"/>
      <c r="F664" s="15"/>
    </row>
    <row r="665" customFormat="false" ht="15" hidden="false" customHeight="false" outlineLevel="0" collapsed="false">
      <c r="A665" s="19"/>
      <c r="B665" s="18"/>
      <c r="C665" s="18"/>
      <c r="D665" s="18"/>
      <c r="E665" s="18"/>
      <c r="F665" s="20"/>
    </row>
    <row r="666" customFormat="false" ht="15" hidden="false" customHeight="false" outlineLevel="0" collapsed="false">
      <c r="A666" s="14"/>
      <c r="B666" s="13"/>
      <c r="C666" s="13"/>
      <c r="D666" s="13"/>
      <c r="E666" s="13"/>
      <c r="F666" s="15"/>
    </row>
    <row r="667" customFormat="false" ht="15" hidden="false" customHeight="false" outlineLevel="0" collapsed="false">
      <c r="A667" s="19"/>
      <c r="B667" s="18"/>
      <c r="C667" s="18"/>
      <c r="D667" s="18"/>
      <c r="E667" s="18"/>
      <c r="F667" s="20"/>
    </row>
    <row r="668" customFormat="false" ht="15" hidden="false" customHeight="false" outlineLevel="0" collapsed="false">
      <c r="A668" s="14"/>
      <c r="B668" s="13"/>
      <c r="C668" s="13"/>
      <c r="D668" s="13"/>
      <c r="E668" s="13"/>
      <c r="F668" s="15"/>
    </row>
    <row r="669" customFormat="false" ht="15" hidden="false" customHeight="false" outlineLevel="0" collapsed="false">
      <c r="A669" s="19"/>
      <c r="B669" s="18"/>
      <c r="C669" s="18"/>
      <c r="D669" s="18"/>
      <c r="E669" s="18"/>
      <c r="F669" s="20"/>
    </row>
    <row r="670" customFormat="false" ht="15" hidden="false" customHeight="false" outlineLevel="0" collapsed="false">
      <c r="A670" s="14"/>
      <c r="B670" s="13"/>
      <c r="C670" s="13"/>
      <c r="D670" s="13"/>
      <c r="E670" s="13"/>
      <c r="F670" s="15"/>
    </row>
    <row r="671" customFormat="false" ht="15" hidden="false" customHeight="false" outlineLevel="0" collapsed="false">
      <c r="A671" s="19"/>
      <c r="B671" s="18"/>
      <c r="C671" s="18"/>
      <c r="D671" s="18"/>
      <c r="E671" s="18"/>
      <c r="F671" s="20"/>
    </row>
    <row r="672" customFormat="false" ht="15" hidden="false" customHeight="false" outlineLevel="0" collapsed="false">
      <c r="A672" s="14"/>
      <c r="B672" s="13"/>
      <c r="C672" s="13"/>
      <c r="D672" s="13"/>
      <c r="E672" s="13"/>
      <c r="F672" s="15"/>
    </row>
    <row r="673" customFormat="false" ht="15" hidden="false" customHeight="false" outlineLevel="0" collapsed="false">
      <c r="A673" s="19"/>
      <c r="B673" s="18"/>
      <c r="C673" s="18"/>
      <c r="D673" s="18"/>
      <c r="E673" s="18"/>
      <c r="F673" s="20"/>
    </row>
    <row r="674" customFormat="false" ht="15" hidden="false" customHeight="false" outlineLevel="0" collapsed="false">
      <c r="A674" s="14"/>
      <c r="B674" s="13"/>
      <c r="C674" s="13"/>
      <c r="D674" s="13"/>
      <c r="E674" s="13"/>
      <c r="F674" s="15"/>
    </row>
    <row r="675" customFormat="false" ht="15" hidden="false" customHeight="false" outlineLevel="0" collapsed="false">
      <c r="A675" s="19"/>
      <c r="B675" s="18"/>
      <c r="C675" s="18"/>
      <c r="D675" s="18"/>
      <c r="E675" s="18"/>
      <c r="F675" s="20"/>
    </row>
    <row r="676" customFormat="false" ht="15" hidden="false" customHeight="false" outlineLevel="0" collapsed="false">
      <c r="A676" s="14"/>
      <c r="B676" s="13"/>
      <c r="C676" s="13"/>
      <c r="D676" s="13"/>
      <c r="E676" s="13"/>
      <c r="F676" s="15"/>
    </row>
    <row r="677" customFormat="false" ht="15" hidden="false" customHeight="false" outlineLevel="0" collapsed="false">
      <c r="A677" s="19"/>
      <c r="B677" s="18"/>
      <c r="C677" s="18"/>
      <c r="D677" s="18"/>
      <c r="E677" s="18"/>
      <c r="F677" s="20"/>
    </row>
    <row r="678" customFormat="false" ht="15" hidden="false" customHeight="false" outlineLevel="0" collapsed="false">
      <c r="A678" s="14"/>
      <c r="B678" s="13"/>
      <c r="C678" s="13"/>
      <c r="D678" s="13"/>
      <c r="E678" s="13"/>
      <c r="F678" s="15"/>
    </row>
    <row r="679" customFormat="false" ht="15" hidden="false" customHeight="false" outlineLevel="0" collapsed="false">
      <c r="A679" s="19"/>
      <c r="B679" s="18"/>
      <c r="C679" s="18"/>
      <c r="D679" s="18"/>
      <c r="E679" s="18"/>
      <c r="F679" s="20"/>
    </row>
    <row r="680" customFormat="false" ht="15" hidden="false" customHeight="false" outlineLevel="0" collapsed="false">
      <c r="A680" s="14"/>
      <c r="B680" s="13"/>
      <c r="C680" s="13"/>
      <c r="D680" s="13"/>
      <c r="E680" s="13"/>
      <c r="F680" s="15"/>
    </row>
    <row r="681" customFormat="false" ht="15" hidden="false" customHeight="false" outlineLevel="0" collapsed="false">
      <c r="A681" s="19"/>
      <c r="B681" s="18"/>
      <c r="C681" s="18"/>
      <c r="D681" s="18"/>
      <c r="E681" s="18"/>
      <c r="F681" s="20"/>
    </row>
    <row r="682" customFormat="false" ht="15" hidden="false" customHeight="false" outlineLevel="0" collapsed="false">
      <c r="A682" s="14"/>
      <c r="B682" s="13"/>
      <c r="C682" s="13"/>
      <c r="D682" s="13"/>
      <c r="E682" s="13"/>
      <c r="F682" s="15"/>
    </row>
    <row r="683" customFormat="false" ht="15" hidden="false" customHeight="false" outlineLevel="0" collapsed="false">
      <c r="A683" s="19"/>
      <c r="B683" s="18"/>
      <c r="C683" s="18"/>
      <c r="D683" s="18"/>
      <c r="E683" s="18"/>
      <c r="F683" s="20"/>
    </row>
    <row r="684" customFormat="false" ht="15" hidden="false" customHeight="false" outlineLevel="0" collapsed="false">
      <c r="A684" s="14"/>
      <c r="B684" s="13"/>
      <c r="C684" s="13"/>
      <c r="D684" s="13"/>
      <c r="E684" s="13"/>
      <c r="F684" s="15"/>
    </row>
    <row r="685" customFormat="false" ht="15" hidden="false" customHeight="false" outlineLevel="0" collapsed="false">
      <c r="A685" s="19"/>
      <c r="B685" s="18"/>
      <c r="C685" s="18"/>
      <c r="D685" s="18"/>
      <c r="E685" s="18"/>
      <c r="F685" s="20"/>
    </row>
    <row r="686" customFormat="false" ht="15" hidden="false" customHeight="false" outlineLevel="0" collapsed="false">
      <c r="A686" s="14"/>
      <c r="B686" s="13"/>
      <c r="C686" s="13"/>
      <c r="D686" s="13"/>
      <c r="E686" s="13"/>
      <c r="F686" s="15"/>
    </row>
    <row r="687" customFormat="false" ht="15" hidden="false" customHeight="false" outlineLevel="0" collapsed="false">
      <c r="A687" s="19"/>
      <c r="B687" s="18"/>
      <c r="C687" s="18"/>
      <c r="D687" s="18"/>
      <c r="E687" s="18"/>
      <c r="F687" s="20"/>
    </row>
    <row r="688" customFormat="false" ht="15" hidden="false" customHeight="false" outlineLevel="0" collapsed="false">
      <c r="A688" s="14"/>
      <c r="B688" s="13"/>
      <c r="C688" s="13"/>
      <c r="D688" s="13"/>
      <c r="E688" s="13"/>
      <c r="F688" s="15"/>
    </row>
    <row r="689" customFormat="false" ht="15" hidden="false" customHeight="false" outlineLevel="0" collapsed="false">
      <c r="A689" s="19"/>
      <c r="B689" s="18"/>
      <c r="C689" s="18"/>
      <c r="D689" s="18"/>
      <c r="E689" s="18"/>
      <c r="F689" s="20"/>
    </row>
    <row r="690" customFormat="false" ht="15" hidden="false" customHeight="false" outlineLevel="0" collapsed="false">
      <c r="A690" s="14"/>
      <c r="B690" s="13"/>
      <c r="C690" s="13"/>
      <c r="D690" s="13"/>
      <c r="E690" s="13"/>
      <c r="F690" s="15"/>
    </row>
    <row r="691" customFormat="false" ht="15" hidden="false" customHeight="false" outlineLevel="0" collapsed="false">
      <c r="A691" s="19"/>
      <c r="B691" s="18"/>
      <c r="C691" s="18"/>
      <c r="D691" s="18"/>
      <c r="E691" s="18"/>
      <c r="F691" s="20"/>
    </row>
    <row r="692" customFormat="false" ht="15" hidden="false" customHeight="false" outlineLevel="0" collapsed="false">
      <c r="A692" s="14"/>
      <c r="B692" s="13"/>
      <c r="C692" s="13"/>
      <c r="D692" s="13"/>
      <c r="E692" s="13"/>
      <c r="F692" s="15"/>
    </row>
    <row r="693" customFormat="false" ht="15" hidden="false" customHeight="false" outlineLevel="0" collapsed="false">
      <c r="A693" s="19"/>
      <c r="B693" s="18"/>
      <c r="C693" s="18"/>
      <c r="D693" s="18"/>
      <c r="E693" s="18"/>
      <c r="F693" s="20"/>
    </row>
    <row r="694" customFormat="false" ht="15" hidden="false" customHeight="false" outlineLevel="0" collapsed="false">
      <c r="A694" s="14"/>
      <c r="B694" s="13"/>
      <c r="C694" s="13"/>
      <c r="D694" s="13"/>
      <c r="E694" s="13"/>
      <c r="F694" s="15"/>
    </row>
    <row r="695" customFormat="false" ht="15" hidden="false" customHeight="false" outlineLevel="0" collapsed="false">
      <c r="A695" s="19"/>
      <c r="B695" s="18"/>
      <c r="C695" s="18"/>
      <c r="D695" s="18"/>
      <c r="E695" s="18"/>
      <c r="F695" s="20"/>
    </row>
    <row r="696" customFormat="false" ht="15" hidden="false" customHeight="false" outlineLevel="0" collapsed="false">
      <c r="A696" s="14"/>
      <c r="B696" s="13"/>
      <c r="C696" s="13"/>
      <c r="D696" s="13"/>
      <c r="E696" s="13"/>
      <c r="F696" s="15"/>
    </row>
    <row r="697" customFormat="false" ht="15" hidden="false" customHeight="false" outlineLevel="0" collapsed="false">
      <c r="A697" s="19"/>
      <c r="B697" s="18"/>
      <c r="C697" s="18"/>
      <c r="D697" s="18"/>
      <c r="E697" s="18"/>
      <c r="F697" s="20"/>
    </row>
    <row r="698" customFormat="false" ht="15" hidden="false" customHeight="false" outlineLevel="0" collapsed="false">
      <c r="A698" s="14"/>
      <c r="B698" s="13"/>
      <c r="C698" s="13"/>
      <c r="D698" s="13"/>
      <c r="E698" s="13"/>
      <c r="F698" s="15"/>
    </row>
    <row r="699" customFormat="false" ht="15" hidden="false" customHeight="false" outlineLevel="0" collapsed="false">
      <c r="A699" s="19"/>
      <c r="B699" s="18"/>
      <c r="C699" s="18"/>
      <c r="D699" s="18"/>
      <c r="E699" s="18"/>
      <c r="F699" s="20"/>
    </row>
    <row r="700" customFormat="false" ht="15" hidden="false" customHeight="false" outlineLevel="0" collapsed="false">
      <c r="A700" s="14"/>
      <c r="B700" s="13"/>
      <c r="C700" s="13"/>
      <c r="D700" s="13"/>
      <c r="E700" s="13"/>
      <c r="F700" s="15"/>
    </row>
    <row r="701" customFormat="false" ht="15" hidden="false" customHeight="false" outlineLevel="0" collapsed="false">
      <c r="A701" s="19"/>
      <c r="B701" s="18"/>
      <c r="C701" s="18"/>
      <c r="D701" s="18"/>
      <c r="E701" s="18"/>
      <c r="F701" s="20"/>
    </row>
    <row r="702" customFormat="false" ht="15" hidden="false" customHeight="false" outlineLevel="0" collapsed="false">
      <c r="A702" s="14"/>
      <c r="B702" s="13"/>
      <c r="C702" s="13"/>
      <c r="D702" s="13"/>
      <c r="E702" s="13"/>
      <c r="F702" s="15"/>
    </row>
    <row r="703" customFormat="false" ht="15" hidden="false" customHeight="false" outlineLevel="0" collapsed="false">
      <c r="A703" s="19"/>
      <c r="B703" s="18"/>
      <c r="C703" s="18"/>
      <c r="D703" s="18"/>
      <c r="E703" s="18"/>
      <c r="F703" s="20"/>
    </row>
    <row r="704" customFormat="false" ht="15" hidden="false" customHeight="false" outlineLevel="0" collapsed="false">
      <c r="A704" s="14"/>
      <c r="B704" s="13"/>
      <c r="C704" s="13"/>
      <c r="D704" s="13"/>
      <c r="E704" s="13"/>
      <c r="F704" s="15"/>
    </row>
    <row r="705" customFormat="false" ht="15" hidden="false" customHeight="false" outlineLevel="0" collapsed="false">
      <c r="A705" s="19"/>
      <c r="B705" s="18"/>
      <c r="C705" s="18"/>
      <c r="D705" s="18"/>
      <c r="E705" s="18"/>
      <c r="F705" s="20"/>
    </row>
    <row r="706" customFormat="false" ht="15" hidden="false" customHeight="false" outlineLevel="0" collapsed="false">
      <c r="A706" s="14"/>
      <c r="B706" s="13"/>
      <c r="C706" s="13"/>
      <c r="D706" s="13"/>
      <c r="E706" s="13"/>
      <c r="F706" s="15"/>
    </row>
    <row r="707" customFormat="false" ht="15" hidden="false" customHeight="false" outlineLevel="0" collapsed="false">
      <c r="A707" s="19"/>
      <c r="B707" s="18"/>
      <c r="C707" s="18"/>
      <c r="D707" s="18"/>
      <c r="E707" s="18"/>
      <c r="F707" s="20"/>
    </row>
    <row r="708" customFormat="false" ht="15" hidden="false" customHeight="false" outlineLevel="0" collapsed="false">
      <c r="A708" s="14"/>
      <c r="B708" s="13"/>
      <c r="C708" s="13"/>
      <c r="D708" s="13"/>
      <c r="E708" s="13"/>
      <c r="F708" s="15"/>
    </row>
    <row r="709" customFormat="false" ht="15" hidden="false" customHeight="false" outlineLevel="0" collapsed="false">
      <c r="A709" s="19"/>
      <c r="B709" s="18"/>
      <c r="C709" s="18"/>
      <c r="D709" s="18"/>
      <c r="E709" s="18"/>
      <c r="F709" s="20"/>
    </row>
    <row r="710" customFormat="false" ht="15" hidden="false" customHeight="false" outlineLevel="0" collapsed="false">
      <c r="A710" s="14"/>
      <c r="B710" s="13"/>
      <c r="C710" s="13"/>
      <c r="D710" s="13"/>
      <c r="E710" s="13"/>
      <c r="F710" s="15"/>
    </row>
    <row r="711" customFormat="false" ht="15" hidden="false" customHeight="false" outlineLevel="0" collapsed="false">
      <c r="A711" s="19"/>
      <c r="B711" s="18"/>
      <c r="C711" s="18"/>
      <c r="D711" s="18"/>
      <c r="E711" s="18"/>
      <c r="F711" s="20"/>
    </row>
    <row r="712" customFormat="false" ht="15" hidden="false" customHeight="false" outlineLevel="0" collapsed="false">
      <c r="A712" s="14"/>
      <c r="B712" s="13"/>
      <c r="C712" s="13"/>
      <c r="D712" s="13"/>
      <c r="E712" s="13"/>
      <c r="F712" s="15"/>
    </row>
    <row r="713" customFormat="false" ht="15" hidden="false" customHeight="false" outlineLevel="0" collapsed="false">
      <c r="A713" s="19"/>
      <c r="B713" s="18"/>
      <c r="C713" s="18"/>
      <c r="D713" s="18"/>
      <c r="E713" s="18"/>
      <c r="F713" s="20"/>
    </row>
    <row r="714" customFormat="false" ht="15" hidden="false" customHeight="false" outlineLevel="0" collapsed="false">
      <c r="A714" s="14"/>
      <c r="B714" s="13"/>
      <c r="C714" s="13"/>
      <c r="D714" s="13"/>
      <c r="E714" s="13"/>
      <c r="F714" s="15"/>
    </row>
    <row r="715" customFormat="false" ht="15" hidden="false" customHeight="false" outlineLevel="0" collapsed="false">
      <c r="A715" s="19"/>
      <c r="B715" s="18"/>
      <c r="C715" s="18"/>
      <c r="D715" s="18"/>
      <c r="E715" s="18"/>
      <c r="F715" s="20"/>
    </row>
    <row r="716" customFormat="false" ht="15" hidden="false" customHeight="false" outlineLevel="0" collapsed="false">
      <c r="A716" s="14"/>
      <c r="B716" s="13"/>
      <c r="C716" s="13"/>
      <c r="D716" s="13"/>
      <c r="E716" s="13"/>
      <c r="F716" s="15"/>
    </row>
    <row r="717" customFormat="false" ht="15" hidden="false" customHeight="false" outlineLevel="0" collapsed="false">
      <c r="A717" s="19"/>
      <c r="B717" s="18"/>
      <c r="C717" s="18"/>
      <c r="D717" s="18"/>
      <c r="E717" s="18"/>
      <c r="F717" s="20"/>
    </row>
    <row r="718" customFormat="false" ht="15" hidden="false" customHeight="false" outlineLevel="0" collapsed="false">
      <c r="A718" s="14"/>
      <c r="B718" s="13"/>
      <c r="C718" s="13"/>
      <c r="D718" s="13"/>
      <c r="E718" s="13"/>
      <c r="F718" s="15"/>
    </row>
    <row r="719" customFormat="false" ht="15" hidden="false" customHeight="false" outlineLevel="0" collapsed="false">
      <c r="A719" s="19"/>
      <c r="B719" s="18"/>
      <c r="C719" s="18"/>
      <c r="D719" s="18"/>
      <c r="E719" s="18"/>
      <c r="F719" s="20"/>
    </row>
    <row r="720" customFormat="false" ht="15" hidden="false" customHeight="false" outlineLevel="0" collapsed="false">
      <c r="A720" s="14"/>
      <c r="B720" s="13"/>
      <c r="C720" s="13"/>
      <c r="D720" s="13"/>
      <c r="E720" s="13"/>
      <c r="F720" s="15"/>
    </row>
    <row r="721" customFormat="false" ht="15" hidden="false" customHeight="false" outlineLevel="0" collapsed="false">
      <c r="A721" s="19"/>
      <c r="B721" s="18"/>
      <c r="C721" s="18"/>
      <c r="D721" s="18"/>
      <c r="E721" s="18"/>
      <c r="F721" s="20"/>
    </row>
    <row r="722" customFormat="false" ht="15" hidden="false" customHeight="false" outlineLevel="0" collapsed="false">
      <c r="A722" s="14"/>
      <c r="B722" s="13"/>
      <c r="C722" s="13"/>
      <c r="D722" s="13"/>
      <c r="E722" s="13"/>
      <c r="F722" s="15"/>
    </row>
    <row r="723" customFormat="false" ht="15" hidden="false" customHeight="false" outlineLevel="0" collapsed="false">
      <c r="A723" s="19"/>
      <c r="B723" s="18"/>
      <c r="C723" s="18"/>
      <c r="D723" s="18"/>
      <c r="E723" s="18"/>
      <c r="F723" s="20"/>
    </row>
    <row r="724" customFormat="false" ht="15" hidden="false" customHeight="false" outlineLevel="0" collapsed="false">
      <c r="A724" s="14"/>
      <c r="B724" s="13"/>
      <c r="C724" s="13"/>
      <c r="D724" s="13"/>
      <c r="E724" s="13"/>
      <c r="F724" s="15"/>
    </row>
    <row r="725" customFormat="false" ht="15" hidden="false" customHeight="false" outlineLevel="0" collapsed="false">
      <c r="A725" s="19"/>
      <c r="B725" s="18"/>
      <c r="C725" s="18"/>
      <c r="D725" s="18"/>
      <c r="E725" s="18"/>
      <c r="F725" s="20"/>
    </row>
    <row r="726" customFormat="false" ht="15" hidden="false" customHeight="false" outlineLevel="0" collapsed="false">
      <c r="A726" s="14"/>
      <c r="B726" s="13"/>
      <c r="C726" s="13"/>
      <c r="D726" s="13"/>
      <c r="E726" s="13"/>
      <c r="F726" s="15"/>
    </row>
    <row r="727" customFormat="false" ht="15" hidden="false" customHeight="false" outlineLevel="0" collapsed="false">
      <c r="A727" s="19"/>
      <c r="B727" s="18"/>
      <c r="C727" s="18"/>
      <c r="D727" s="18"/>
      <c r="E727" s="18"/>
      <c r="F727" s="20"/>
    </row>
    <row r="728" customFormat="false" ht="15" hidden="false" customHeight="false" outlineLevel="0" collapsed="false">
      <c r="A728" s="14"/>
      <c r="B728" s="13"/>
      <c r="C728" s="13"/>
      <c r="D728" s="13"/>
      <c r="E728" s="13"/>
      <c r="F728" s="15"/>
    </row>
    <row r="729" customFormat="false" ht="15" hidden="false" customHeight="false" outlineLevel="0" collapsed="false">
      <c r="A729" s="19"/>
      <c r="B729" s="18"/>
      <c r="C729" s="18"/>
      <c r="D729" s="18"/>
      <c r="E729" s="18"/>
      <c r="F729" s="20"/>
    </row>
    <row r="730" customFormat="false" ht="15" hidden="false" customHeight="false" outlineLevel="0" collapsed="false">
      <c r="A730" s="14"/>
      <c r="B730" s="13"/>
      <c r="C730" s="13"/>
      <c r="D730" s="13"/>
      <c r="E730" s="13"/>
      <c r="F730" s="15"/>
    </row>
    <row r="731" customFormat="false" ht="15" hidden="false" customHeight="false" outlineLevel="0" collapsed="false">
      <c r="A731" s="19"/>
      <c r="B731" s="18"/>
      <c r="C731" s="18"/>
      <c r="D731" s="18"/>
      <c r="E731" s="18"/>
      <c r="F731" s="20"/>
    </row>
    <row r="732" customFormat="false" ht="15" hidden="false" customHeight="false" outlineLevel="0" collapsed="false">
      <c r="A732" s="14"/>
      <c r="B732" s="13"/>
      <c r="C732" s="13"/>
      <c r="D732" s="13"/>
      <c r="E732" s="13"/>
      <c r="F732" s="15"/>
    </row>
    <row r="733" customFormat="false" ht="15" hidden="false" customHeight="false" outlineLevel="0" collapsed="false">
      <c r="A733" s="19"/>
      <c r="B733" s="18"/>
      <c r="C733" s="18"/>
      <c r="D733" s="18"/>
      <c r="E733" s="18"/>
      <c r="F733" s="20"/>
    </row>
    <row r="734" customFormat="false" ht="15" hidden="false" customHeight="false" outlineLevel="0" collapsed="false">
      <c r="A734" s="14"/>
      <c r="B734" s="13"/>
      <c r="C734" s="13"/>
      <c r="D734" s="13"/>
      <c r="E734" s="13"/>
      <c r="F734" s="15"/>
    </row>
    <row r="735" customFormat="false" ht="15" hidden="false" customHeight="false" outlineLevel="0" collapsed="false">
      <c r="A735" s="19"/>
      <c r="B735" s="18"/>
      <c r="C735" s="18"/>
      <c r="D735" s="18"/>
      <c r="E735" s="18"/>
      <c r="F735" s="20"/>
    </row>
    <row r="736" customFormat="false" ht="15" hidden="false" customHeight="false" outlineLevel="0" collapsed="false">
      <c r="A736" s="14"/>
      <c r="B736" s="13"/>
      <c r="C736" s="13"/>
      <c r="D736" s="13"/>
      <c r="E736" s="13"/>
      <c r="F736" s="15"/>
    </row>
    <row r="737" customFormat="false" ht="15" hidden="false" customHeight="false" outlineLevel="0" collapsed="false">
      <c r="A737" s="19"/>
      <c r="B737" s="18"/>
      <c r="C737" s="18"/>
      <c r="D737" s="18"/>
      <c r="E737" s="18"/>
      <c r="F737" s="20"/>
    </row>
    <row r="738" customFormat="false" ht="15" hidden="false" customHeight="false" outlineLevel="0" collapsed="false">
      <c r="A738" s="14"/>
      <c r="B738" s="13"/>
      <c r="C738" s="13"/>
      <c r="D738" s="13"/>
      <c r="E738" s="13"/>
      <c r="F738" s="15"/>
    </row>
    <row r="739" customFormat="false" ht="15" hidden="false" customHeight="false" outlineLevel="0" collapsed="false">
      <c r="A739" s="19"/>
      <c r="B739" s="18"/>
      <c r="C739" s="18"/>
      <c r="D739" s="18"/>
      <c r="E739" s="18"/>
      <c r="F739" s="20"/>
    </row>
    <row r="740" customFormat="false" ht="15" hidden="false" customHeight="false" outlineLevel="0" collapsed="false">
      <c r="A740" s="14"/>
      <c r="B740" s="13"/>
      <c r="C740" s="13"/>
      <c r="D740" s="13"/>
      <c r="E740" s="13"/>
      <c r="F740" s="15"/>
    </row>
    <row r="741" customFormat="false" ht="15" hidden="false" customHeight="false" outlineLevel="0" collapsed="false">
      <c r="A741" s="19"/>
      <c r="B741" s="18"/>
      <c r="C741" s="18"/>
      <c r="D741" s="18"/>
      <c r="E741" s="18"/>
      <c r="F741" s="20"/>
    </row>
    <row r="742" customFormat="false" ht="15" hidden="false" customHeight="false" outlineLevel="0" collapsed="false">
      <c r="A742" s="14"/>
      <c r="B742" s="13"/>
      <c r="C742" s="13"/>
      <c r="D742" s="13"/>
      <c r="E742" s="13"/>
      <c r="F742" s="15"/>
    </row>
    <row r="743" customFormat="false" ht="15" hidden="false" customHeight="false" outlineLevel="0" collapsed="false">
      <c r="A743" s="19"/>
      <c r="B743" s="18"/>
      <c r="C743" s="18"/>
      <c r="D743" s="18"/>
      <c r="E743" s="18"/>
      <c r="F743" s="20"/>
    </row>
    <row r="744" customFormat="false" ht="15" hidden="false" customHeight="false" outlineLevel="0" collapsed="false">
      <c r="A744" s="14"/>
      <c r="B744" s="13"/>
      <c r="C744" s="13"/>
      <c r="D744" s="13"/>
      <c r="E744" s="13"/>
      <c r="F744" s="15"/>
    </row>
    <row r="745" customFormat="false" ht="15" hidden="false" customHeight="false" outlineLevel="0" collapsed="false">
      <c r="A745" s="19"/>
      <c r="B745" s="18"/>
      <c r="C745" s="18"/>
      <c r="D745" s="18"/>
      <c r="E745" s="18"/>
      <c r="F745" s="20"/>
    </row>
    <row r="746" customFormat="false" ht="15" hidden="false" customHeight="false" outlineLevel="0" collapsed="false">
      <c r="A746" s="14"/>
      <c r="B746" s="13"/>
      <c r="C746" s="13"/>
      <c r="D746" s="13"/>
      <c r="E746" s="13"/>
      <c r="F746" s="15"/>
    </row>
    <row r="747" customFormat="false" ht="15" hidden="false" customHeight="false" outlineLevel="0" collapsed="false">
      <c r="A747" s="19"/>
      <c r="B747" s="18"/>
      <c r="C747" s="18"/>
      <c r="D747" s="18"/>
      <c r="E747" s="18"/>
      <c r="F747" s="20"/>
    </row>
    <row r="748" customFormat="false" ht="15" hidden="false" customHeight="false" outlineLevel="0" collapsed="false">
      <c r="A748" s="14"/>
      <c r="B748" s="13"/>
      <c r="C748" s="13"/>
      <c r="D748" s="13"/>
      <c r="E748" s="13"/>
      <c r="F748" s="15"/>
    </row>
    <row r="749" customFormat="false" ht="15" hidden="false" customHeight="false" outlineLevel="0" collapsed="false">
      <c r="A749" s="19"/>
      <c r="B749" s="18"/>
      <c r="C749" s="18"/>
      <c r="D749" s="18"/>
      <c r="E749" s="18"/>
      <c r="F749" s="20"/>
    </row>
    <row r="750" customFormat="false" ht="15" hidden="false" customHeight="false" outlineLevel="0" collapsed="false">
      <c r="A750" s="14"/>
      <c r="B750" s="13"/>
      <c r="C750" s="13"/>
      <c r="D750" s="13"/>
      <c r="E750" s="13"/>
      <c r="F750" s="15"/>
    </row>
    <row r="751" customFormat="false" ht="15" hidden="false" customHeight="false" outlineLevel="0" collapsed="false">
      <c r="A751" s="19"/>
      <c r="B751" s="18"/>
      <c r="C751" s="18"/>
      <c r="D751" s="18"/>
      <c r="E751" s="18"/>
      <c r="F751" s="20"/>
    </row>
    <row r="752" customFormat="false" ht="15" hidden="false" customHeight="false" outlineLevel="0" collapsed="false">
      <c r="A752" s="14"/>
      <c r="B752" s="13"/>
      <c r="C752" s="13"/>
      <c r="D752" s="13"/>
      <c r="E752" s="13"/>
      <c r="F752" s="15"/>
    </row>
    <row r="753" customFormat="false" ht="15" hidden="false" customHeight="false" outlineLevel="0" collapsed="false">
      <c r="A753" s="19"/>
      <c r="B753" s="18"/>
      <c r="C753" s="18"/>
      <c r="D753" s="18"/>
      <c r="E753" s="18"/>
      <c r="F753" s="20"/>
    </row>
    <row r="754" customFormat="false" ht="15" hidden="false" customHeight="false" outlineLevel="0" collapsed="false">
      <c r="A754" s="14"/>
      <c r="B754" s="13"/>
      <c r="C754" s="13"/>
      <c r="D754" s="13"/>
      <c r="E754" s="13"/>
      <c r="F754" s="15"/>
    </row>
    <row r="755" customFormat="false" ht="15" hidden="false" customHeight="false" outlineLevel="0" collapsed="false">
      <c r="A755" s="19"/>
      <c r="B755" s="18"/>
      <c r="C755" s="18"/>
      <c r="D755" s="18"/>
      <c r="E755" s="18"/>
      <c r="F755" s="20"/>
    </row>
    <row r="756" customFormat="false" ht="15" hidden="false" customHeight="false" outlineLevel="0" collapsed="false">
      <c r="A756" s="14"/>
      <c r="B756" s="13"/>
      <c r="C756" s="13"/>
      <c r="D756" s="13"/>
      <c r="E756" s="13"/>
      <c r="F756" s="15"/>
    </row>
    <row r="757" customFormat="false" ht="15" hidden="false" customHeight="false" outlineLevel="0" collapsed="false">
      <c r="A757" s="19"/>
      <c r="B757" s="18"/>
      <c r="C757" s="18"/>
      <c r="D757" s="18"/>
      <c r="E757" s="18"/>
      <c r="F757" s="20"/>
    </row>
    <row r="758" customFormat="false" ht="15" hidden="false" customHeight="false" outlineLevel="0" collapsed="false">
      <c r="A758" s="14"/>
      <c r="B758" s="13"/>
      <c r="C758" s="13"/>
      <c r="D758" s="13"/>
      <c r="E758" s="13"/>
      <c r="F758" s="15"/>
    </row>
    <row r="759" customFormat="false" ht="15" hidden="false" customHeight="false" outlineLevel="0" collapsed="false">
      <c r="A759" s="19"/>
      <c r="B759" s="18"/>
      <c r="C759" s="18"/>
      <c r="D759" s="18"/>
      <c r="E759" s="18"/>
      <c r="F759" s="20"/>
    </row>
    <row r="760" customFormat="false" ht="15" hidden="false" customHeight="false" outlineLevel="0" collapsed="false">
      <c r="A760" s="14"/>
      <c r="B760" s="13"/>
      <c r="C760" s="13"/>
      <c r="D760" s="13"/>
      <c r="E760" s="13"/>
      <c r="F760" s="15"/>
    </row>
    <row r="761" customFormat="false" ht="15" hidden="false" customHeight="false" outlineLevel="0" collapsed="false">
      <c r="A761" s="19"/>
      <c r="B761" s="18"/>
      <c r="C761" s="18"/>
      <c r="D761" s="18"/>
      <c r="E761" s="18"/>
      <c r="F761" s="20"/>
    </row>
    <row r="762" customFormat="false" ht="15" hidden="false" customHeight="false" outlineLevel="0" collapsed="false">
      <c r="A762" s="14"/>
      <c r="B762" s="13"/>
      <c r="C762" s="13"/>
      <c r="D762" s="13"/>
      <c r="E762" s="13"/>
      <c r="F762" s="15"/>
    </row>
    <row r="763" customFormat="false" ht="15" hidden="false" customHeight="false" outlineLevel="0" collapsed="false">
      <c r="A763" s="19"/>
      <c r="B763" s="18"/>
      <c r="C763" s="18"/>
      <c r="D763" s="18"/>
      <c r="E763" s="18"/>
      <c r="F763" s="20"/>
    </row>
    <row r="764" customFormat="false" ht="15" hidden="false" customHeight="false" outlineLevel="0" collapsed="false">
      <c r="A764" s="14"/>
      <c r="B764" s="13"/>
      <c r="C764" s="13"/>
      <c r="D764" s="13"/>
      <c r="E764" s="13"/>
      <c r="F764" s="15"/>
    </row>
    <row r="765" customFormat="false" ht="15" hidden="false" customHeight="false" outlineLevel="0" collapsed="false">
      <c r="A765" s="19"/>
      <c r="B765" s="18"/>
      <c r="C765" s="18"/>
      <c r="D765" s="18"/>
      <c r="E765" s="18"/>
      <c r="F765" s="20"/>
    </row>
    <row r="766" customFormat="false" ht="15" hidden="false" customHeight="false" outlineLevel="0" collapsed="false">
      <c r="A766" s="14"/>
      <c r="B766" s="13"/>
      <c r="C766" s="13"/>
      <c r="D766" s="13"/>
      <c r="E766" s="13"/>
      <c r="F766" s="15"/>
    </row>
    <row r="767" customFormat="false" ht="15" hidden="false" customHeight="false" outlineLevel="0" collapsed="false">
      <c r="A767" s="19"/>
      <c r="B767" s="18"/>
      <c r="C767" s="18"/>
      <c r="D767" s="18"/>
      <c r="E767" s="18"/>
      <c r="F767" s="20"/>
    </row>
    <row r="768" customFormat="false" ht="15" hidden="false" customHeight="false" outlineLevel="0" collapsed="false">
      <c r="A768" s="14"/>
      <c r="B768" s="13"/>
      <c r="C768" s="13"/>
      <c r="D768" s="13"/>
      <c r="E768" s="13"/>
      <c r="F768" s="15"/>
    </row>
    <row r="769" customFormat="false" ht="15" hidden="false" customHeight="false" outlineLevel="0" collapsed="false">
      <c r="A769" s="19"/>
      <c r="B769" s="18"/>
      <c r="C769" s="18"/>
      <c r="D769" s="18"/>
      <c r="E769" s="18"/>
      <c r="F769" s="20"/>
    </row>
    <row r="770" customFormat="false" ht="15" hidden="false" customHeight="false" outlineLevel="0" collapsed="false">
      <c r="A770" s="14"/>
      <c r="B770" s="13"/>
      <c r="C770" s="13"/>
      <c r="D770" s="13"/>
      <c r="E770" s="13"/>
      <c r="F770" s="15"/>
    </row>
    <row r="771" customFormat="false" ht="15" hidden="false" customHeight="false" outlineLevel="0" collapsed="false">
      <c r="A771" s="19"/>
      <c r="B771" s="18"/>
      <c r="C771" s="18"/>
      <c r="D771" s="18"/>
      <c r="E771" s="18"/>
      <c r="F771" s="20"/>
    </row>
    <row r="772" customFormat="false" ht="15" hidden="false" customHeight="false" outlineLevel="0" collapsed="false">
      <c r="A772" s="14"/>
      <c r="B772" s="13"/>
      <c r="C772" s="13"/>
      <c r="D772" s="13"/>
      <c r="E772" s="13"/>
      <c r="F772" s="15"/>
    </row>
    <row r="773" customFormat="false" ht="15" hidden="false" customHeight="false" outlineLevel="0" collapsed="false">
      <c r="A773" s="19"/>
      <c r="B773" s="18"/>
      <c r="C773" s="18"/>
      <c r="D773" s="18"/>
      <c r="E773" s="18"/>
      <c r="F773" s="20"/>
    </row>
    <row r="774" customFormat="false" ht="15" hidden="false" customHeight="false" outlineLevel="0" collapsed="false">
      <c r="A774" s="14"/>
      <c r="B774" s="13"/>
      <c r="C774" s="13"/>
      <c r="D774" s="13"/>
      <c r="E774" s="13"/>
      <c r="F774" s="15"/>
    </row>
    <row r="775" customFormat="false" ht="15" hidden="false" customHeight="false" outlineLevel="0" collapsed="false">
      <c r="A775" s="19"/>
      <c r="B775" s="18"/>
      <c r="C775" s="18"/>
      <c r="D775" s="18"/>
      <c r="E775" s="18"/>
      <c r="F775" s="20"/>
    </row>
    <row r="776" customFormat="false" ht="15" hidden="false" customHeight="false" outlineLevel="0" collapsed="false">
      <c r="A776" s="14"/>
      <c r="B776" s="13"/>
      <c r="C776" s="13"/>
      <c r="D776" s="13"/>
      <c r="E776" s="13"/>
      <c r="F776" s="15"/>
    </row>
    <row r="777" customFormat="false" ht="15" hidden="false" customHeight="false" outlineLevel="0" collapsed="false">
      <c r="A777" s="19"/>
      <c r="B777" s="18"/>
      <c r="C777" s="18"/>
      <c r="D777" s="18"/>
      <c r="E777" s="18"/>
      <c r="F777" s="20"/>
    </row>
    <row r="778" customFormat="false" ht="15" hidden="false" customHeight="false" outlineLevel="0" collapsed="false">
      <c r="A778" s="14"/>
      <c r="B778" s="13"/>
      <c r="C778" s="13"/>
      <c r="D778" s="13"/>
      <c r="E778" s="13"/>
      <c r="F778" s="15"/>
    </row>
    <row r="779" customFormat="false" ht="15" hidden="false" customHeight="false" outlineLevel="0" collapsed="false">
      <c r="A779" s="19"/>
      <c r="B779" s="18"/>
      <c r="C779" s="18"/>
      <c r="D779" s="18"/>
      <c r="E779" s="18"/>
      <c r="F779" s="20"/>
    </row>
    <row r="780" customFormat="false" ht="15" hidden="false" customHeight="false" outlineLevel="0" collapsed="false">
      <c r="A780" s="14"/>
      <c r="B780" s="13"/>
      <c r="C780" s="13"/>
      <c r="D780" s="13"/>
      <c r="E780" s="13"/>
      <c r="F780" s="15"/>
    </row>
    <row r="781" customFormat="false" ht="15" hidden="false" customHeight="false" outlineLevel="0" collapsed="false">
      <c r="A781" s="19"/>
      <c r="B781" s="18"/>
      <c r="C781" s="18"/>
      <c r="D781" s="18"/>
      <c r="E781" s="18"/>
      <c r="F781" s="20"/>
    </row>
    <row r="782" customFormat="false" ht="15" hidden="false" customHeight="false" outlineLevel="0" collapsed="false">
      <c r="A782" s="14"/>
      <c r="B782" s="13"/>
      <c r="C782" s="13"/>
      <c r="D782" s="13"/>
      <c r="E782" s="13"/>
      <c r="F782" s="15"/>
    </row>
    <row r="783" customFormat="false" ht="15" hidden="false" customHeight="false" outlineLevel="0" collapsed="false">
      <c r="A783" s="19"/>
      <c r="B783" s="18"/>
      <c r="C783" s="18"/>
      <c r="D783" s="18"/>
      <c r="E783" s="18"/>
      <c r="F783" s="20"/>
    </row>
    <row r="784" customFormat="false" ht="15" hidden="false" customHeight="false" outlineLevel="0" collapsed="false">
      <c r="A784" s="14"/>
      <c r="B784" s="13"/>
      <c r="C784" s="13"/>
      <c r="D784" s="13"/>
      <c r="E784" s="13"/>
      <c r="F784" s="15"/>
    </row>
    <row r="785" customFormat="false" ht="15" hidden="false" customHeight="false" outlineLevel="0" collapsed="false">
      <c r="A785" s="19"/>
      <c r="B785" s="18"/>
      <c r="C785" s="18"/>
      <c r="D785" s="18"/>
      <c r="E785" s="18"/>
      <c r="F785" s="20"/>
    </row>
    <row r="786" customFormat="false" ht="15" hidden="false" customHeight="false" outlineLevel="0" collapsed="false">
      <c r="A786" s="14"/>
      <c r="B786" s="13"/>
      <c r="C786" s="13"/>
      <c r="D786" s="13"/>
      <c r="E786" s="13"/>
      <c r="F786" s="15"/>
    </row>
    <row r="787" customFormat="false" ht="15" hidden="false" customHeight="false" outlineLevel="0" collapsed="false">
      <c r="A787" s="19"/>
      <c r="B787" s="18"/>
      <c r="C787" s="18"/>
      <c r="D787" s="18"/>
      <c r="E787" s="18"/>
      <c r="F787" s="20"/>
    </row>
    <row r="788" customFormat="false" ht="15" hidden="false" customHeight="false" outlineLevel="0" collapsed="false">
      <c r="A788" s="14"/>
      <c r="B788" s="13"/>
      <c r="C788" s="13"/>
      <c r="D788" s="13"/>
      <c r="E788" s="13"/>
      <c r="F788" s="15"/>
    </row>
    <row r="789" customFormat="false" ht="15" hidden="false" customHeight="false" outlineLevel="0" collapsed="false">
      <c r="A789" s="19"/>
      <c r="B789" s="18"/>
      <c r="C789" s="18"/>
      <c r="D789" s="18"/>
      <c r="E789" s="18"/>
      <c r="F789" s="20"/>
    </row>
    <row r="790" customFormat="false" ht="15" hidden="false" customHeight="false" outlineLevel="0" collapsed="false">
      <c r="A790" s="14"/>
      <c r="B790" s="13"/>
      <c r="C790" s="13"/>
      <c r="D790" s="13"/>
      <c r="E790" s="13"/>
      <c r="F790" s="15"/>
    </row>
    <row r="791" customFormat="false" ht="15" hidden="false" customHeight="false" outlineLevel="0" collapsed="false">
      <c r="A791" s="19"/>
      <c r="B791" s="18"/>
      <c r="C791" s="18"/>
      <c r="D791" s="18"/>
      <c r="E791" s="18"/>
      <c r="F791" s="20"/>
    </row>
    <row r="792" customFormat="false" ht="15" hidden="false" customHeight="false" outlineLevel="0" collapsed="false">
      <c r="A792" s="14"/>
      <c r="B792" s="13"/>
      <c r="C792" s="13"/>
      <c r="D792" s="13"/>
      <c r="E792" s="13"/>
      <c r="F792" s="15"/>
    </row>
    <row r="793" customFormat="false" ht="15" hidden="false" customHeight="false" outlineLevel="0" collapsed="false">
      <c r="A793" s="19"/>
      <c r="B793" s="18"/>
      <c r="C793" s="18"/>
      <c r="D793" s="18"/>
      <c r="E793" s="18"/>
      <c r="F793" s="20"/>
    </row>
    <row r="794" customFormat="false" ht="15" hidden="false" customHeight="false" outlineLevel="0" collapsed="false">
      <c r="A794" s="14"/>
      <c r="B794" s="13"/>
      <c r="C794" s="13"/>
      <c r="D794" s="13"/>
      <c r="E794" s="13"/>
      <c r="F794" s="15"/>
    </row>
    <row r="795" customFormat="false" ht="15" hidden="false" customHeight="false" outlineLevel="0" collapsed="false">
      <c r="A795" s="19"/>
      <c r="B795" s="18"/>
      <c r="C795" s="18"/>
      <c r="D795" s="18"/>
      <c r="E795" s="18"/>
      <c r="F795" s="20"/>
    </row>
    <row r="796" customFormat="false" ht="15" hidden="false" customHeight="false" outlineLevel="0" collapsed="false">
      <c r="A796" s="14"/>
      <c r="B796" s="13"/>
      <c r="C796" s="13"/>
      <c r="D796" s="13"/>
      <c r="E796" s="13"/>
      <c r="F796" s="15"/>
    </row>
    <row r="797" customFormat="false" ht="15" hidden="false" customHeight="false" outlineLevel="0" collapsed="false">
      <c r="A797" s="19"/>
      <c r="B797" s="18"/>
      <c r="C797" s="18"/>
      <c r="D797" s="18"/>
      <c r="E797" s="18"/>
      <c r="F797" s="20"/>
    </row>
    <row r="798" customFormat="false" ht="15" hidden="false" customHeight="false" outlineLevel="0" collapsed="false">
      <c r="A798" s="14"/>
      <c r="B798" s="13"/>
      <c r="C798" s="13"/>
      <c r="D798" s="13"/>
      <c r="E798" s="13"/>
      <c r="F798" s="15"/>
    </row>
    <row r="799" customFormat="false" ht="15" hidden="false" customHeight="false" outlineLevel="0" collapsed="false">
      <c r="A799" s="19"/>
      <c r="B799" s="18"/>
      <c r="C799" s="18"/>
      <c r="D799" s="18"/>
      <c r="E799" s="18"/>
      <c r="F799" s="20"/>
    </row>
    <row r="800" customFormat="false" ht="15" hidden="false" customHeight="false" outlineLevel="0" collapsed="false">
      <c r="A800" s="14"/>
      <c r="B800" s="13"/>
      <c r="C800" s="13"/>
      <c r="D800" s="13"/>
      <c r="E800" s="13"/>
      <c r="F800" s="15"/>
    </row>
    <row r="801" customFormat="false" ht="15" hidden="false" customHeight="false" outlineLevel="0" collapsed="false">
      <c r="A801" s="19"/>
      <c r="B801" s="18"/>
      <c r="C801" s="18"/>
      <c r="D801" s="18"/>
      <c r="E801" s="18"/>
      <c r="F801" s="20"/>
    </row>
    <row r="802" customFormat="false" ht="15" hidden="false" customHeight="false" outlineLevel="0" collapsed="false">
      <c r="A802" s="14"/>
      <c r="B802" s="13"/>
      <c r="C802" s="13"/>
      <c r="D802" s="13"/>
      <c r="E802" s="13"/>
      <c r="F802" s="15"/>
    </row>
    <row r="803" customFormat="false" ht="15" hidden="false" customHeight="false" outlineLevel="0" collapsed="false">
      <c r="A803" s="19"/>
      <c r="B803" s="18"/>
      <c r="C803" s="18"/>
      <c r="D803" s="18"/>
      <c r="E803" s="18"/>
      <c r="F803" s="20"/>
    </row>
    <row r="804" customFormat="false" ht="15" hidden="false" customHeight="false" outlineLevel="0" collapsed="false">
      <c r="A804" s="14"/>
      <c r="B804" s="13"/>
      <c r="C804" s="13"/>
      <c r="D804" s="13"/>
      <c r="E804" s="13"/>
      <c r="F804" s="15"/>
    </row>
    <row r="805" customFormat="false" ht="15" hidden="false" customHeight="false" outlineLevel="0" collapsed="false">
      <c r="A805" s="19"/>
      <c r="B805" s="18"/>
      <c r="C805" s="18"/>
      <c r="D805" s="18"/>
      <c r="E805" s="18"/>
      <c r="F805" s="20"/>
    </row>
    <row r="806" customFormat="false" ht="15" hidden="false" customHeight="false" outlineLevel="0" collapsed="false">
      <c r="A806" s="14"/>
      <c r="B806" s="13"/>
      <c r="C806" s="13"/>
      <c r="D806" s="13"/>
      <c r="E806" s="13"/>
      <c r="F806" s="15"/>
    </row>
    <row r="807" customFormat="false" ht="15" hidden="false" customHeight="false" outlineLevel="0" collapsed="false">
      <c r="A807" s="19"/>
      <c r="B807" s="18"/>
      <c r="C807" s="18"/>
      <c r="D807" s="18"/>
      <c r="E807" s="18"/>
      <c r="F807" s="20"/>
    </row>
    <row r="808" customFormat="false" ht="15" hidden="false" customHeight="false" outlineLevel="0" collapsed="false">
      <c r="A808" s="14"/>
      <c r="B808" s="13"/>
      <c r="C808" s="13"/>
      <c r="D808" s="13"/>
      <c r="E808" s="13"/>
      <c r="F808" s="15"/>
    </row>
    <row r="809" customFormat="false" ht="15" hidden="false" customHeight="false" outlineLevel="0" collapsed="false">
      <c r="A809" s="19"/>
      <c r="B809" s="18"/>
      <c r="C809" s="18"/>
      <c r="D809" s="18"/>
      <c r="E809" s="18"/>
      <c r="F809" s="20"/>
    </row>
    <row r="810" customFormat="false" ht="15" hidden="false" customHeight="false" outlineLevel="0" collapsed="false">
      <c r="A810" s="14"/>
      <c r="B810" s="13"/>
      <c r="C810" s="13"/>
      <c r="D810" s="13"/>
      <c r="E810" s="13"/>
      <c r="F810" s="15"/>
    </row>
    <row r="811" customFormat="false" ht="15" hidden="false" customHeight="false" outlineLevel="0" collapsed="false">
      <c r="A811" s="19"/>
      <c r="B811" s="18"/>
      <c r="C811" s="18"/>
      <c r="D811" s="18"/>
      <c r="E811" s="18"/>
      <c r="F811" s="20"/>
    </row>
    <row r="812" customFormat="false" ht="15" hidden="false" customHeight="false" outlineLevel="0" collapsed="false">
      <c r="A812" s="14"/>
      <c r="B812" s="13"/>
      <c r="C812" s="13"/>
      <c r="D812" s="13"/>
      <c r="E812" s="13"/>
      <c r="F812" s="15"/>
    </row>
    <row r="813" customFormat="false" ht="15" hidden="false" customHeight="false" outlineLevel="0" collapsed="false">
      <c r="A813" s="19"/>
      <c r="B813" s="18"/>
      <c r="C813" s="18"/>
      <c r="D813" s="18"/>
      <c r="E813" s="18"/>
      <c r="F813" s="20"/>
    </row>
    <row r="814" customFormat="false" ht="15" hidden="false" customHeight="false" outlineLevel="0" collapsed="false">
      <c r="A814" s="14"/>
      <c r="B814" s="13"/>
      <c r="C814" s="13"/>
      <c r="D814" s="13"/>
      <c r="E814" s="13"/>
      <c r="F814" s="15"/>
    </row>
    <row r="815" customFormat="false" ht="15" hidden="false" customHeight="false" outlineLevel="0" collapsed="false">
      <c r="A815" s="19"/>
      <c r="B815" s="18"/>
      <c r="C815" s="18"/>
      <c r="D815" s="18"/>
      <c r="E815" s="18"/>
      <c r="F815" s="20"/>
    </row>
    <row r="816" customFormat="false" ht="15" hidden="false" customHeight="false" outlineLevel="0" collapsed="false">
      <c r="A816" s="14"/>
      <c r="B816" s="13"/>
      <c r="C816" s="13"/>
      <c r="D816" s="13"/>
      <c r="E816" s="13"/>
      <c r="F816" s="15"/>
    </row>
    <row r="817" customFormat="false" ht="15" hidden="false" customHeight="false" outlineLevel="0" collapsed="false">
      <c r="A817" s="19"/>
      <c r="B817" s="18"/>
      <c r="C817" s="18"/>
      <c r="D817" s="18"/>
      <c r="E817" s="18"/>
      <c r="F817" s="20"/>
    </row>
    <row r="818" customFormat="false" ht="15" hidden="false" customHeight="false" outlineLevel="0" collapsed="false">
      <c r="A818" s="14"/>
      <c r="B818" s="13"/>
      <c r="C818" s="13"/>
      <c r="D818" s="13"/>
      <c r="E818" s="13"/>
      <c r="F818" s="15"/>
    </row>
    <row r="819" customFormat="false" ht="15" hidden="false" customHeight="false" outlineLevel="0" collapsed="false">
      <c r="A819" s="19"/>
      <c r="B819" s="18"/>
      <c r="C819" s="18"/>
      <c r="D819" s="18"/>
      <c r="E819" s="18"/>
      <c r="F819" s="20"/>
    </row>
    <row r="820" customFormat="false" ht="15" hidden="false" customHeight="false" outlineLevel="0" collapsed="false">
      <c r="A820" s="14"/>
      <c r="B820" s="13"/>
      <c r="C820" s="13"/>
      <c r="D820" s="13"/>
      <c r="E820" s="13"/>
      <c r="F820" s="15"/>
    </row>
    <row r="821" customFormat="false" ht="15" hidden="false" customHeight="false" outlineLevel="0" collapsed="false">
      <c r="A821" s="19"/>
      <c r="B821" s="18"/>
      <c r="C821" s="18"/>
      <c r="D821" s="18"/>
      <c r="E821" s="18"/>
      <c r="F821" s="20"/>
    </row>
    <row r="822" customFormat="false" ht="15" hidden="false" customHeight="false" outlineLevel="0" collapsed="false">
      <c r="A822" s="14"/>
      <c r="B822" s="13"/>
      <c r="C822" s="13"/>
      <c r="D822" s="13"/>
      <c r="E822" s="13"/>
      <c r="F822" s="15"/>
    </row>
    <row r="823" customFormat="false" ht="15" hidden="false" customHeight="false" outlineLevel="0" collapsed="false">
      <c r="A823" s="19"/>
      <c r="B823" s="18"/>
      <c r="C823" s="18"/>
      <c r="D823" s="18"/>
      <c r="E823" s="18"/>
      <c r="F823" s="20"/>
    </row>
    <row r="824" customFormat="false" ht="15" hidden="false" customHeight="false" outlineLevel="0" collapsed="false">
      <c r="A824" s="14"/>
      <c r="B824" s="13"/>
      <c r="C824" s="13"/>
      <c r="D824" s="13"/>
      <c r="E824" s="13"/>
      <c r="F824" s="15"/>
    </row>
    <row r="825" customFormat="false" ht="15" hidden="false" customHeight="false" outlineLevel="0" collapsed="false">
      <c r="A825" s="19"/>
      <c r="B825" s="18"/>
      <c r="C825" s="18"/>
      <c r="D825" s="18"/>
      <c r="E825" s="18"/>
      <c r="F825" s="20"/>
    </row>
    <row r="826" customFormat="false" ht="15" hidden="false" customHeight="false" outlineLevel="0" collapsed="false">
      <c r="A826" s="14"/>
      <c r="B826" s="13"/>
      <c r="C826" s="13"/>
      <c r="D826" s="13"/>
      <c r="E826" s="13"/>
      <c r="F826" s="15"/>
    </row>
    <row r="827" customFormat="false" ht="15" hidden="false" customHeight="false" outlineLevel="0" collapsed="false">
      <c r="A827" s="19"/>
      <c r="B827" s="18"/>
      <c r="C827" s="18"/>
      <c r="D827" s="18"/>
      <c r="E827" s="18"/>
      <c r="F827" s="20"/>
    </row>
    <row r="828" customFormat="false" ht="15" hidden="false" customHeight="false" outlineLevel="0" collapsed="false">
      <c r="A828" s="14"/>
      <c r="B828" s="13"/>
      <c r="C828" s="13"/>
      <c r="D828" s="13"/>
      <c r="E828" s="13"/>
      <c r="F828" s="15"/>
    </row>
    <row r="829" customFormat="false" ht="15" hidden="false" customHeight="false" outlineLevel="0" collapsed="false">
      <c r="A829" s="19"/>
      <c r="B829" s="18"/>
      <c r="C829" s="18"/>
      <c r="D829" s="18"/>
      <c r="E829" s="18"/>
      <c r="F829" s="20"/>
    </row>
    <row r="830" customFormat="false" ht="15" hidden="false" customHeight="false" outlineLevel="0" collapsed="false">
      <c r="A830" s="14"/>
      <c r="B830" s="13"/>
      <c r="C830" s="13"/>
      <c r="D830" s="13"/>
      <c r="E830" s="13"/>
      <c r="F830" s="15"/>
    </row>
    <row r="831" customFormat="false" ht="15" hidden="false" customHeight="false" outlineLevel="0" collapsed="false">
      <c r="A831" s="19"/>
      <c r="B831" s="18"/>
      <c r="C831" s="18"/>
      <c r="D831" s="18"/>
      <c r="E831" s="18"/>
      <c r="F831" s="20"/>
    </row>
    <row r="832" customFormat="false" ht="15" hidden="false" customHeight="false" outlineLevel="0" collapsed="false">
      <c r="A832" s="14"/>
      <c r="B832" s="13"/>
      <c r="C832" s="13"/>
      <c r="D832" s="13"/>
      <c r="E832" s="13"/>
      <c r="F832" s="15"/>
    </row>
    <row r="833" customFormat="false" ht="15" hidden="false" customHeight="false" outlineLevel="0" collapsed="false">
      <c r="A833" s="19"/>
      <c r="B833" s="18"/>
      <c r="C833" s="18"/>
      <c r="D833" s="18"/>
      <c r="E833" s="18"/>
      <c r="F833" s="20"/>
    </row>
    <row r="834" customFormat="false" ht="15" hidden="false" customHeight="false" outlineLevel="0" collapsed="false">
      <c r="A834" s="14"/>
      <c r="B834" s="13"/>
      <c r="C834" s="13"/>
      <c r="D834" s="13"/>
      <c r="E834" s="13"/>
      <c r="F834" s="15"/>
    </row>
    <row r="835" customFormat="false" ht="15" hidden="false" customHeight="false" outlineLevel="0" collapsed="false">
      <c r="A835" s="19"/>
      <c r="B835" s="18"/>
      <c r="C835" s="18"/>
      <c r="D835" s="18"/>
      <c r="E835" s="18"/>
      <c r="F835" s="20"/>
    </row>
    <row r="836" customFormat="false" ht="15" hidden="false" customHeight="false" outlineLevel="0" collapsed="false">
      <c r="A836" s="14"/>
      <c r="B836" s="13"/>
      <c r="C836" s="13"/>
      <c r="D836" s="13"/>
      <c r="E836" s="13"/>
      <c r="F836" s="15"/>
    </row>
    <row r="837" customFormat="false" ht="15" hidden="false" customHeight="false" outlineLevel="0" collapsed="false">
      <c r="A837" s="19"/>
      <c r="B837" s="18"/>
      <c r="C837" s="18"/>
      <c r="D837" s="18"/>
      <c r="E837" s="18"/>
      <c r="F837" s="20"/>
    </row>
    <row r="838" customFormat="false" ht="15" hidden="false" customHeight="false" outlineLevel="0" collapsed="false">
      <c r="A838" s="14"/>
      <c r="B838" s="13"/>
      <c r="C838" s="13"/>
      <c r="D838" s="13"/>
      <c r="E838" s="13"/>
      <c r="F838" s="15"/>
    </row>
    <row r="839" customFormat="false" ht="15" hidden="false" customHeight="false" outlineLevel="0" collapsed="false">
      <c r="A839" s="19"/>
      <c r="B839" s="18"/>
      <c r="C839" s="18"/>
      <c r="D839" s="18"/>
      <c r="E839" s="18"/>
      <c r="F839" s="20"/>
    </row>
    <row r="840" customFormat="false" ht="15" hidden="false" customHeight="false" outlineLevel="0" collapsed="false">
      <c r="A840" s="14"/>
      <c r="B840" s="13"/>
      <c r="C840" s="13"/>
      <c r="D840" s="13"/>
      <c r="E840" s="13"/>
      <c r="F840" s="15"/>
    </row>
    <row r="841" customFormat="false" ht="15" hidden="false" customHeight="false" outlineLevel="0" collapsed="false">
      <c r="A841" s="19"/>
      <c r="B841" s="18"/>
      <c r="C841" s="18"/>
      <c r="D841" s="18"/>
      <c r="E841" s="18"/>
      <c r="F841" s="20"/>
    </row>
    <row r="842" customFormat="false" ht="15" hidden="false" customHeight="false" outlineLevel="0" collapsed="false">
      <c r="A842" s="14"/>
      <c r="B842" s="13"/>
      <c r="C842" s="13"/>
      <c r="D842" s="13"/>
      <c r="E842" s="13"/>
      <c r="F842" s="15"/>
    </row>
    <row r="843" customFormat="false" ht="15" hidden="false" customHeight="false" outlineLevel="0" collapsed="false">
      <c r="A843" s="19"/>
      <c r="B843" s="18"/>
      <c r="C843" s="18"/>
      <c r="D843" s="18"/>
      <c r="E843" s="18"/>
      <c r="F843" s="20"/>
    </row>
    <row r="844" customFormat="false" ht="15" hidden="false" customHeight="false" outlineLevel="0" collapsed="false">
      <c r="A844" s="14"/>
      <c r="B844" s="13"/>
      <c r="C844" s="13"/>
      <c r="D844" s="13"/>
      <c r="E844" s="13"/>
      <c r="F844" s="15"/>
    </row>
    <row r="845" customFormat="false" ht="15" hidden="false" customHeight="false" outlineLevel="0" collapsed="false">
      <c r="A845" s="19"/>
      <c r="B845" s="18"/>
      <c r="C845" s="18"/>
      <c r="D845" s="18"/>
      <c r="E845" s="18"/>
      <c r="F845" s="20"/>
    </row>
    <row r="846" customFormat="false" ht="15" hidden="false" customHeight="false" outlineLevel="0" collapsed="false">
      <c r="A846" s="14"/>
      <c r="B846" s="13"/>
      <c r="C846" s="13"/>
      <c r="D846" s="13"/>
      <c r="E846" s="13"/>
      <c r="F846" s="15"/>
    </row>
    <row r="847" customFormat="false" ht="15" hidden="false" customHeight="false" outlineLevel="0" collapsed="false">
      <c r="A847" s="19"/>
      <c r="B847" s="18"/>
      <c r="C847" s="18"/>
      <c r="D847" s="18"/>
      <c r="E847" s="18"/>
      <c r="F847" s="20"/>
    </row>
    <row r="848" customFormat="false" ht="15" hidden="false" customHeight="false" outlineLevel="0" collapsed="false">
      <c r="A848" s="14"/>
      <c r="B848" s="13"/>
      <c r="C848" s="13"/>
      <c r="D848" s="13"/>
      <c r="E848" s="13"/>
      <c r="F848" s="15"/>
    </row>
    <row r="849" customFormat="false" ht="15" hidden="false" customHeight="false" outlineLevel="0" collapsed="false">
      <c r="A849" s="19"/>
      <c r="B849" s="18"/>
      <c r="C849" s="18"/>
      <c r="D849" s="18"/>
      <c r="E849" s="18"/>
      <c r="F849" s="20"/>
    </row>
    <row r="850" customFormat="false" ht="15" hidden="false" customHeight="false" outlineLevel="0" collapsed="false">
      <c r="A850" s="14"/>
      <c r="B850" s="13"/>
      <c r="C850" s="13"/>
      <c r="D850" s="13"/>
      <c r="E850" s="13"/>
      <c r="F850" s="15"/>
    </row>
    <row r="851" customFormat="false" ht="15" hidden="false" customHeight="false" outlineLevel="0" collapsed="false">
      <c r="A851" s="19"/>
      <c r="B851" s="18"/>
      <c r="C851" s="18"/>
      <c r="D851" s="18"/>
      <c r="E851" s="18"/>
      <c r="F851" s="20"/>
    </row>
    <row r="852" customFormat="false" ht="15" hidden="false" customHeight="false" outlineLevel="0" collapsed="false">
      <c r="A852" s="14"/>
      <c r="B852" s="13"/>
      <c r="C852" s="13"/>
      <c r="D852" s="13"/>
      <c r="E852" s="13"/>
      <c r="F852" s="15"/>
    </row>
    <row r="853" customFormat="false" ht="15" hidden="false" customHeight="false" outlineLevel="0" collapsed="false">
      <c r="A853" s="19"/>
      <c r="B853" s="18"/>
      <c r="C853" s="18"/>
      <c r="D853" s="18"/>
      <c r="E853" s="18"/>
      <c r="F853" s="20"/>
    </row>
    <row r="854" customFormat="false" ht="15" hidden="false" customHeight="false" outlineLevel="0" collapsed="false">
      <c r="A854" s="14"/>
      <c r="B854" s="13"/>
      <c r="C854" s="13"/>
      <c r="D854" s="13"/>
      <c r="E854" s="13"/>
      <c r="F854" s="15"/>
    </row>
    <row r="855" customFormat="false" ht="15" hidden="false" customHeight="false" outlineLevel="0" collapsed="false">
      <c r="A855" s="19"/>
      <c r="B855" s="18"/>
      <c r="C855" s="18"/>
      <c r="D855" s="18"/>
      <c r="E855" s="18"/>
      <c r="F855" s="20"/>
    </row>
    <row r="856" customFormat="false" ht="15" hidden="false" customHeight="false" outlineLevel="0" collapsed="false">
      <c r="A856" s="14"/>
      <c r="B856" s="13"/>
      <c r="C856" s="13"/>
      <c r="D856" s="13"/>
      <c r="E856" s="13"/>
      <c r="F856" s="15"/>
    </row>
    <row r="857" customFormat="false" ht="15" hidden="false" customHeight="false" outlineLevel="0" collapsed="false">
      <c r="A857" s="19"/>
      <c r="B857" s="18"/>
      <c r="C857" s="18"/>
      <c r="D857" s="18"/>
      <c r="E857" s="18"/>
      <c r="F857" s="20"/>
    </row>
    <row r="858" customFormat="false" ht="15" hidden="false" customHeight="false" outlineLevel="0" collapsed="false">
      <c r="A858" s="14"/>
      <c r="B858" s="13"/>
      <c r="C858" s="13"/>
      <c r="D858" s="13"/>
      <c r="E858" s="13"/>
      <c r="F858" s="15"/>
    </row>
    <row r="859" customFormat="false" ht="15" hidden="false" customHeight="false" outlineLevel="0" collapsed="false">
      <c r="A859" s="19"/>
      <c r="B859" s="18"/>
      <c r="C859" s="18"/>
      <c r="D859" s="18"/>
      <c r="E859" s="18"/>
      <c r="F859" s="20"/>
    </row>
    <row r="860" customFormat="false" ht="15" hidden="false" customHeight="false" outlineLevel="0" collapsed="false">
      <c r="A860" s="14"/>
      <c r="B860" s="13"/>
      <c r="C860" s="13"/>
      <c r="D860" s="13"/>
      <c r="E860" s="13"/>
      <c r="F860" s="15"/>
    </row>
    <row r="861" customFormat="false" ht="15" hidden="false" customHeight="false" outlineLevel="0" collapsed="false">
      <c r="A861" s="19"/>
      <c r="B861" s="18"/>
      <c r="C861" s="18"/>
      <c r="D861" s="18"/>
      <c r="E861" s="18"/>
      <c r="F861" s="20"/>
    </row>
    <row r="862" customFormat="false" ht="15" hidden="false" customHeight="false" outlineLevel="0" collapsed="false">
      <c r="A862" s="14"/>
      <c r="B862" s="13"/>
      <c r="C862" s="13"/>
      <c r="D862" s="13"/>
      <c r="E862" s="13"/>
      <c r="F862" s="15"/>
    </row>
    <row r="863" customFormat="false" ht="15" hidden="false" customHeight="false" outlineLevel="0" collapsed="false">
      <c r="A863" s="19"/>
      <c r="B863" s="18"/>
      <c r="C863" s="18"/>
      <c r="D863" s="18"/>
      <c r="E863" s="18"/>
      <c r="F863" s="20"/>
    </row>
    <row r="864" customFormat="false" ht="15" hidden="false" customHeight="false" outlineLevel="0" collapsed="false">
      <c r="A864" s="14"/>
      <c r="B864" s="13"/>
      <c r="C864" s="13"/>
      <c r="D864" s="13"/>
      <c r="E864" s="13"/>
      <c r="F864" s="15"/>
    </row>
    <row r="865" customFormat="false" ht="15" hidden="false" customHeight="false" outlineLevel="0" collapsed="false">
      <c r="A865" s="19"/>
      <c r="B865" s="18"/>
      <c r="C865" s="18"/>
      <c r="D865" s="18"/>
      <c r="E865" s="18"/>
      <c r="F865" s="20"/>
    </row>
    <row r="866" customFormat="false" ht="15" hidden="false" customHeight="false" outlineLevel="0" collapsed="false">
      <c r="A866" s="14"/>
      <c r="B866" s="13"/>
      <c r="C866" s="13"/>
      <c r="D866" s="13"/>
      <c r="E866" s="13"/>
      <c r="F866" s="15"/>
    </row>
    <row r="867" customFormat="false" ht="15" hidden="false" customHeight="false" outlineLevel="0" collapsed="false">
      <c r="A867" s="19"/>
      <c r="B867" s="18"/>
      <c r="C867" s="18"/>
      <c r="D867" s="18"/>
      <c r="E867" s="18"/>
      <c r="F867" s="20"/>
    </row>
    <row r="868" customFormat="false" ht="15" hidden="false" customHeight="false" outlineLevel="0" collapsed="false">
      <c r="A868" s="14"/>
      <c r="B868" s="13"/>
      <c r="C868" s="13"/>
      <c r="D868" s="13"/>
      <c r="E868" s="13"/>
      <c r="F868" s="15"/>
    </row>
    <row r="869" customFormat="false" ht="15" hidden="false" customHeight="false" outlineLevel="0" collapsed="false">
      <c r="A869" s="19"/>
      <c r="B869" s="18"/>
      <c r="C869" s="18"/>
      <c r="D869" s="18"/>
      <c r="E869" s="18"/>
      <c r="F869" s="20"/>
    </row>
    <row r="870" customFormat="false" ht="15" hidden="false" customHeight="false" outlineLevel="0" collapsed="false">
      <c r="A870" s="14"/>
      <c r="B870" s="13"/>
      <c r="C870" s="13"/>
      <c r="D870" s="13"/>
      <c r="E870" s="13"/>
      <c r="F870" s="15"/>
    </row>
    <row r="871" customFormat="false" ht="15" hidden="false" customHeight="false" outlineLevel="0" collapsed="false">
      <c r="A871" s="19"/>
      <c r="B871" s="18"/>
      <c r="C871" s="18"/>
      <c r="D871" s="18"/>
      <c r="E871" s="18"/>
      <c r="F871" s="20"/>
    </row>
    <row r="872" customFormat="false" ht="15" hidden="false" customHeight="false" outlineLevel="0" collapsed="false">
      <c r="A872" s="14"/>
      <c r="B872" s="13"/>
      <c r="C872" s="13"/>
      <c r="D872" s="13"/>
      <c r="E872" s="13"/>
      <c r="F872" s="15"/>
    </row>
    <row r="873" customFormat="false" ht="15" hidden="false" customHeight="false" outlineLevel="0" collapsed="false">
      <c r="A873" s="19"/>
      <c r="B873" s="18"/>
      <c r="C873" s="18"/>
      <c r="D873" s="18"/>
      <c r="E873" s="18"/>
      <c r="F873" s="20"/>
    </row>
    <row r="874" customFormat="false" ht="15" hidden="false" customHeight="false" outlineLevel="0" collapsed="false">
      <c r="A874" s="14"/>
      <c r="B874" s="13"/>
      <c r="C874" s="13"/>
      <c r="D874" s="13"/>
      <c r="E874" s="13"/>
      <c r="F874" s="15"/>
    </row>
    <row r="875" customFormat="false" ht="15" hidden="false" customHeight="false" outlineLevel="0" collapsed="false">
      <c r="A875" s="19"/>
      <c r="B875" s="18"/>
      <c r="C875" s="18"/>
      <c r="D875" s="18"/>
      <c r="E875" s="18"/>
      <c r="F875" s="20"/>
    </row>
    <row r="876" customFormat="false" ht="15" hidden="false" customHeight="false" outlineLevel="0" collapsed="false">
      <c r="A876" s="14"/>
      <c r="B876" s="13"/>
      <c r="C876" s="13"/>
      <c r="D876" s="13"/>
      <c r="E876" s="13"/>
      <c r="F876" s="15"/>
    </row>
    <row r="877" customFormat="false" ht="15" hidden="false" customHeight="false" outlineLevel="0" collapsed="false">
      <c r="A877" s="19"/>
      <c r="B877" s="18"/>
      <c r="C877" s="18"/>
      <c r="D877" s="18"/>
      <c r="E877" s="18"/>
      <c r="F877" s="20"/>
    </row>
    <row r="878" customFormat="false" ht="15" hidden="false" customHeight="false" outlineLevel="0" collapsed="false">
      <c r="A878" s="14"/>
      <c r="B878" s="13"/>
      <c r="C878" s="13"/>
      <c r="D878" s="13"/>
      <c r="E878" s="13"/>
      <c r="F878" s="15"/>
    </row>
    <row r="879" customFormat="false" ht="15" hidden="false" customHeight="false" outlineLevel="0" collapsed="false">
      <c r="A879" s="19"/>
      <c r="B879" s="18"/>
      <c r="C879" s="18"/>
      <c r="D879" s="18"/>
      <c r="E879" s="18"/>
      <c r="F879" s="20"/>
    </row>
    <row r="880" customFormat="false" ht="15" hidden="false" customHeight="false" outlineLevel="0" collapsed="false">
      <c r="A880" s="14"/>
      <c r="B880" s="13"/>
      <c r="C880" s="13"/>
      <c r="D880" s="13"/>
      <c r="E880" s="13"/>
      <c r="F880" s="15"/>
    </row>
    <row r="881" customFormat="false" ht="15" hidden="false" customHeight="false" outlineLevel="0" collapsed="false">
      <c r="A881" s="19"/>
      <c r="B881" s="18"/>
      <c r="C881" s="18"/>
      <c r="D881" s="18"/>
      <c r="E881" s="18"/>
      <c r="F881" s="20"/>
    </row>
    <row r="882" customFormat="false" ht="15" hidden="false" customHeight="false" outlineLevel="0" collapsed="false">
      <c r="A882" s="14"/>
      <c r="B882" s="13"/>
      <c r="C882" s="13"/>
      <c r="D882" s="13"/>
      <c r="E882" s="13"/>
      <c r="F882" s="15"/>
    </row>
    <row r="883" customFormat="false" ht="15" hidden="false" customHeight="false" outlineLevel="0" collapsed="false">
      <c r="A883" s="19"/>
      <c r="B883" s="18"/>
      <c r="C883" s="18"/>
      <c r="D883" s="18"/>
      <c r="E883" s="18"/>
      <c r="F883" s="20"/>
    </row>
    <row r="884" customFormat="false" ht="15" hidden="false" customHeight="false" outlineLevel="0" collapsed="false">
      <c r="A884" s="14"/>
      <c r="B884" s="13"/>
      <c r="C884" s="13"/>
      <c r="D884" s="13"/>
      <c r="E884" s="13"/>
      <c r="F884" s="15"/>
    </row>
    <row r="885" customFormat="false" ht="15" hidden="false" customHeight="false" outlineLevel="0" collapsed="false">
      <c r="A885" s="19"/>
      <c r="B885" s="18"/>
      <c r="C885" s="18"/>
      <c r="D885" s="18"/>
      <c r="E885" s="18"/>
      <c r="F885" s="20"/>
    </row>
    <row r="886" customFormat="false" ht="15" hidden="false" customHeight="false" outlineLevel="0" collapsed="false">
      <c r="A886" s="14"/>
      <c r="B886" s="13"/>
      <c r="C886" s="13"/>
      <c r="D886" s="13"/>
      <c r="E886" s="13"/>
      <c r="F886" s="15"/>
    </row>
    <row r="887" customFormat="false" ht="15" hidden="false" customHeight="false" outlineLevel="0" collapsed="false">
      <c r="A887" s="19"/>
      <c r="B887" s="18"/>
      <c r="C887" s="18"/>
      <c r="D887" s="18"/>
      <c r="E887" s="18"/>
      <c r="F887" s="20"/>
    </row>
    <row r="888" customFormat="false" ht="15" hidden="false" customHeight="false" outlineLevel="0" collapsed="false">
      <c r="A888" s="14"/>
      <c r="B888" s="13"/>
      <c r="C888" s="13"/>
      <c r="D888" s="13"/>
      <c r="E888" s="13"/>
      <c r="F888" s="15"/>
    </row>
    <row r="889" customFormat="false" ht="15" hidden="false" customHeight="false" outlineLevel="0" collapsed="false">
      <c r="A889" s="19"/>
      <c r="B889" s="18"/>
      <c r="C889" s="18"/>
      <c r="D889" s="18"/>
      <c r="E889" s="18"/>
      <c r="F889" s="20"/>
    </row>
    <row r="890" customFormat="false" ht="15" hidden="false" customHeight="false" outlineLevel="0" collapsed="false">
      <c r="A890" s="14"/>
      <c r="B890" s="13"/>
      <c r="C890" s="13"/>
      <c r="D890" s="13"/>
      <c r="E890" s="13"/>
      <c r="F890" s="15"/>
    </row>
    <row r="891" customFormat="false" ht="15" hidden="false" customHeight="false" outlineLevel="0" collapsed="false">
      <c r="A891" s="19"/>
      <c r="B891" s="18"/>
      <c r="C891" s="18"/>
      <c r="D891" s="18"/>
      <c r="E891" s="18"/>
      <c r="F891" s="20"/>
    </row>
    <row r="892" customFormat="false" ht="15" hidden="false" customHeight="false" outlineLevel="0" collapsed="false">
      <c r="A892" s="14"/>
      <c r="B892" s="13"/>
      <c r="C892" s="13"/>
      <c r="D892" s="13"/>
      <c r="E892" s="13"/>
      <c r="F892" s="15"/>
    </row>
    <row r="893" customFormat="false" ht="15" hidden="false" customHeight="false" outlineLevel="0" collapsed="false">
      <c r="A893" s="19"/>
      <c r="B893" s="18"/>
      <c r="C893" s="18"/>
      <c r="D893" s="18"/>
      <c r="E893" s="18"/>
      <c r="F893" s="20"/>
    </row>
    <row r="894" customFormat="false" ht="15" hidden="false" customHeight="false" outlineLevel="0" collapsed="false">
      <c r="A894" s="14"/>
      <c r="B894" s="13"/>
      <c r="C894" s="13"/>
      <c r="D894" s="13"/>
      <c r="E894" s="13"/>
      <c r="F894" s="15"/>
    </row>
    <row r="895" customFormat="false" ht="15" hidden="false" customHeight="false" outlineLevel="0" collapsed="false">
      <c r="A895" s="19"/>
      <c r="B895" s="18"/>
      <c r="C895" s="18"/>
      <c r="D895" s="18"/>
      <c r="E895" s="18"/>
      <c r="F895" s="20"/>
    </row>
    <row r="896" customFormat="false" ht="15" hidden="false" customHeight="false" outlineLevel="0" collapsed="false">
      <c r="A896" s="14"/>
      <c r="B896" s="13"/>
      <c r="C896" s="13"/>
      <c r="D896" s="13"/>
      <c r="E896" s="13"/>
      <c r="F896" s="15"/>
    </row>
    <row r="897" customFormat="false" ht="15" hidden="false" customHeight="false" outlineLevel="0" collapsed="false">
      <c r="A897" s="19"/>
      <c r="B897" s="18"/>
      <c r="C897" s="18"/>
      <c r="D897" s="18"/>
      <c r="E897" s="18"/>
      <c r="F897" s="20"/>
    </row>
    <row r="898" customFormat="false" ht="15" hidden="false" customHeight="false" outlineLevel="0" collapsed="false">
      <c r="A898" s="14"/>
      <c r="B898" s="13"/>
      <c r="C898" s="13"/>
      <c r="D898" s="13"/>
      <c r="E898" s="13"/>
      <c r="F898" s="15"/>
    </row>
    <row r="899" customFormat="false" ht="15" hidden="false" customHeight="false" outlineLevel="0" collapsed="false">
      <c r="A899" s="19"/>
      <c r="B899" s="18"/>
      <c r="C899" s="18"/>
      <c r="D899" s="18"/>
      <c r="E899" s="18"/>
      <c r="F899" s="20"/>
    </row>
    <row r="900" customFormat="false" ht="15" hidden="false" customHeight="false" outlineLevel="0" collapsed="false">
      <c r="A900" s="14"/>
      <c r="B900" s="13"/>
      <c r="C900" s="13"/>
      <c r="D900" s="13"/>
      <c r="E900" s="13"/>
      <c r="F900" s="15"/>
    </row>
    <row r="901" customFormat="false" ht="15" hidden="false" customHeight="false" outlineLevel="0" collapsed="false">
      <c r="A901" s="19"/>
      <c r="B901" s="18"/>
      <c r="C901" s="18"/>
      <c r="D901" s="18"/>
      <c r="E901" s="18"/>
      <c r="F901" s="20"/>
    </row>
    <row r="902" customFormat="false" ht="15" hidden="false" customHeight="false" outlineLevel="0" collapsed="false">
      <c r="A902" s="14"/>
      <c r="B902" s="13"/>
      <c r="C902" s="13"/>
      <c r="D902" s="13"/>
      <c r="E902" s="13"/>
      <c r="F902" s="15"/>
    </row>
    <row r="903" customFormat="false" ht="15" hidden="false" customHeight="false" outlineLevel="0" collapsed="false">
      <c r="A903" s="19"/>
      <c r="B903" s="18"/>
      <c r="C903" s="18"/>
      <c r="D903" s="18"/>
      <c r="E903" s="18"/>
      <c r="F903" s="20"/>
    </row>
    <row r="904" customFormat="false" ht="15" hidden="false" customHeight="false" outlineLevel="0" collapsed="false">
      <c r="A904" s="14"/>
      <c r="B904" s="13"/>
      <c r="C904" s="13"/>
      <c r="D904" s="13"/>
      <c r="E904" s="13"/>
      <c r="F904" s="15"/>
    </row>
    <row r="905" customFormat="false" ht="15" hidden="false" customHeight="false" outlineLevel="0" collapsed="false">
      <c r="A905" s="19"/>
      <c r="B905" s="18"/>
      <c r="C905" s="18"/>
      <c r="D905" s="18"/>
      <c r="E905" s="18"/>
      <c r="F905" s="20"/>
    </row>
    <row r="906" customFormat="false" ht="15" hidden="false" customHeight="false" outlineLevel="0" collapsed="false">
      <c r="A906" s="14"/>
      <c r="B906" s="13"/>
      <c r="C906" s="13"/>
      <c r="D906" s="13"/>
      <c r="E906" s="13"/>
      <c r="F906" s="15"/>
    </row>
    <row r="907" customFormat="false" ht="15" hidden="false" customHeight="false" outlineLevel="0" collapsed="false">
      <c r="A907" s="19"/>
      <c r="B907" s="18"/>
      <c r="C907" s="18"/>
      <c r="D907" s="18"/>
      <c r="E907" s="18"/>
      <c r="F907" s="20"/>
    </row>
    <row r="908" customFormat="false" ht="15" hidden="false" customHeight="false" outlineLevel="0" collapsed="false">
      <c r="A908" s="14"/>
      <c r="B908" s="13"/>
      <c r="C908" s="13"/>
      <c r="D908" s="13"/>
      <c r="E908" s="13"/>
      <c r="F908" s="15"/>
    </row>
    <row r="909" customFormat="false" ht="15" hidden="false" customHeight="false" outlineLevel="0" collapsed="false">
      <c r="A909" s="19"/>
      <c r="B909" s="18"/>
      <c r="C909" s="18"/>
      <c r="D909" s="18"/>
      <c r="E909" s="18"/>
      <c r="F909" s="20"/>
    </row>
    <row r="910" customFormat="false" ht="15" hidden="false" customHeight="false" outlineLevel="0" collapsed="false">
      <c r="A910" s="14"/>
      <c r="B910" s="13"/>
      <c r="C910" s="13"/>
      <c r="D910" s="13"/>
      <c r="E910" s="13"/>
      <c r="F910" s="15"/>
    </row>
    <row r="911" customFormat="false" ht="15" hidden="false" customHeight="false" outlineLevel="0" collapsed="false">
      <c r="A911" s="19"/>
      <c r="B911" s="18"/>
      <c r="C911" s="18"/>
      <c r="D911" s="18"/>
      <c r="E911" s="18"/>
      <c r="F911" s="20"/>
    </row>
    <row r="912" customFormat="false" ht="15" hidden="false" customHeight="false" outlineLevel="0" collapsed="false">
      <c r="A912" s="14"/>
      <c r="B912" s="13"/>
      <c r="C912" s="13"/>
      <c r="D912" s="13"/>
      <c r="E912" s="13"/>
      <c r="F912" s="15"/>
    </row>
    <row r="913" customFormat="false" ht="15" hidden="false" customHeight="false" outlineLevel="0" collapsed="false">
      <c r="A913" s="19"/>
      <c r="B913" s="18"/>
      <c r="C913" s="18"/>
      <c r="D913" s="18"/>
      <c r="E913" s="18"/>
      <c r="F913" s="20"/>
    </row>
    <row r="914" customFormat="false" ht="15" hidden="false" customHeight="false" outlineLevel="0" collapsed="false">
      <c r="A914" s="14"/>
      <c r="B914" s="13"/>
      <c r="C914" s="13"/>
      <c r="D914" s="13"/>
      <c r="E914" s="13"/>
      <c r="F914" s="15"/>
    </row>
    <row r="915" customFormat="false" ht="15" hidden="false" customHeight="false" outlineLevel="0" collapsed="false">
      <c r="A915" s="19"/>
      <c r="B915" s="18"/>
      <c r="C915" s="18"/>
      <c r="D915" s="18"/>
      <c r="E915" s="18"/>
      <c r="F915" s="20"/>
    </row>
    <row r="916" customFormat="false" ht="15" hidden="false" customHeight="false" outlineLevel="0" collapsed="false">
      <c r="A916" s="14"/>
      <c r="B916" s="13"/>
      <c r="C916" s="13"/>
      <c r="D916" s="13"/>
      <c r="E916" s="13"/>
      <c r="F916" s="15"/>
    </row>
    <row r="917" customFormat="false" ht="15" hidden="false" customHeight="false" outlineLevel="0" collapsed="false">
      <c r="A917" s="19"/>
      <c r="B917" s="18"/>
      <c r="C917" s="18"/>
      <c r="D917" s="18"/>
      <c r="E917" s="18"/>
      <c r="F917" s="20"/>
    </row>
    <row r="918" customFormat="false" ht="15" hidden="false" customHeight="false" outlineLevel="0" collapsed="false">
      <c r="A918" s="14"/>
      <c r="B918" s="13"/>
      <c r="C918" s="13"/>
      <c r="D918" s="13"/>
      <c r="E918" s="13"/>
      <c r="F918" s="15"/>
    </row>
    <row r="919" customFormat="false" ht="15" hidden="false" customHeight="false" outlineLevel="0" collapsed="false">
      <c r="A919" s="19"/>
      <c r="B919" s="18"/>
      <c r="C919" s="18"/>
      <c r="D919" s="18"/>
      <c r="E919" s="18"/>
      <c r="F919" s="20"/>
    </row>
    <row r="920" customFormat="false" ht="15" hidden="false" customHeight="false" outlineLevel="0" collapsed="false">
      <c r="A920" s="14"/>
      <c r="B920" s="13"/>
      <c r="C920" s="13"/>
      <c r="D920" s="13"/>
      <c r="E920" s="13"/>
      <c r="F920" s="15"/>
    </row>
    <row r="921" customFormat="false" ht="15" hidden="false" customHeight="false" outlineLevel="0" collapsed="false">
      <c r="A921" s="19"/>
      <c r="B921" s="18"/>
      <c r="C921" s="18"/>
      <c r="D921" s="18"/>
      <c r="E921" s="18"/>
      <c r="F921" s="20"/>
    </row>
    <row r="922" customFormat="false" ht="15" hidden="false" customHeight="false" outlineLevel="0" collapsed="false">
      <c r="A922" s="14"/>
      <c r="B922" s="13"/>
      <c r="C922" s="13"/>
      <c r="D922" s="13"/>
      <c r="E922" s="13"/>
      <c r="F922" s="15"/>
    </row>
    <row r="923" customFormat="false" ht="15" hidden="false" customHeight="false" outlineLevel="0" collapsed="false">
      <c r="A923" s="19"/>
      <c r="B923" s="18"/>
      <c r="C923" s="18"/>
      <c r="D923" s="18"/>
      <c r="E923" s="18"/>
      <c r="F923" s="20"/>
    </row>
    <row r="924" customFormat="false" ht="15" hidden="false" customHeight="false" outlineLevel="0" collapsed="false">
      <c r="A924" s="14"/>
      <c r="B924" s="13"/>
      <c r="C924" s="13"/>
      <c r="D924" s="13"/>
      <c r="E924" s="13"/>
      <c r="F924" s="15"/>
    </row>
    <row r="925" customFormat="false" ht="15" hidden="false" customHeight="false" outlineLevel="0" collapsed="false">
      <c r="A925" s="19"/>
      <c r="B925" s="18"/>
      <c r="C925" s="18"/>
      <c r="D925" s="18"/>
      <c r="E925" s="18"/>
      <c r="F925" s="20"/>
    </row>
    <row r="926" customFormat="false" ht="15" hidden="false" customHeight="false" outlineLevel="0" collapsed="false">
      <c r="A926" s="14"/>
      <c r="B926" s="13"/>
      <c r="C926" s="13"/>
      <c r="D926" s="13"/>
      <c r="E926" s="13"/>
      <c r="F926" s="15"/>
    </row>
    <row r="927" customFormat="false" ht="15" hidden="false" customHeight="false" outlineLevel="0" collapsed="false">
      <c r="A927" s="19"/>
      <c r="B927" s="18"/>
      <c r="C927" s="18"/>
      <c r="D927" s="18"/>
      <c r="E927" s="18"/>
      <c r="F927" s="20"/>
    </row>
    <row r="928" customFormat="false" ht="15" hidden="false" customHeight="false" outlineLevel="0" collapsed="false">
      <c r="A928" s="14"/>
      <c r="B928" s="13"/>
      <c r="C928" s="13"/>
      <c r="D928" s="13"/>
      <c r="E928" s="13"/>
      <c r="F928" s="15"/>
    </row>
    <row r="929" customFormat="false" ht="15" hidden="false" customHeight="false" outlineLevel="0" collapsed="false">
      <c r="A929" s="19"/>
      <c r="B929" s="18"/>
      <c r="C929" s="18"/>
      <c r="D929" s="18"/>
      <c r="E929" s="18"/>
      <c r="F929" s="20"/>
    </row>
    <row r="930" customFormat="false" ht="15" hidden="false" customHeight="false" outlineLevel="0" collapsed="false">
      <c r="A930" s="14"/>
      <c r="B930" s="13"/>
      <c r="C930" s="13"/>
      <c r="D930" s="13"/>
      <c r="E930" s="13"/>
      <c r="F930" s="15"/>
    </row>
    <row r="931" customFormat="false" ht="15" hidden="false" customHeight="false" outlineLevel="0" collapsed="false">
      <c r="A931" s="19"/>
      <c r="B931" s="18"/>
      <c r="C931" s="18"/>
      <c r="D931" s="18"/>
      <c r="E931" s="18"/>
      <c r="F931" s="20"/>
    </row>
    <row r="932" customFormat="false" ht="15" hidden="false" customHeight="false" outlineLevel="0" collapsed="false">
      <c r="A932" s="14"/>
      <c r="B932" s="13"/>
      <c r="C932" s="13"/>
      <c r="D932" s="13"/>
      <c r="E932" s="13"/>
      <c r="F932" s="15"/>
    </row>
    <row r="933" customFormat="false" ht="15" hidden="false" customHeight="false" outlineLevel="0" collapsed="false">
      <c r="A933" s="19"/>
      <c r="B933" s="18"/>
      <c r="C933" s="18"/>
      <c r="D933" s="18"/>
      <c r="E933" s="18"/>
      <c r="F933" s="20"/>
    </row>
    <row r="934" customFormat="false" ht="15" hidden="false" customHeight="false" outlineLevel="0" collapsed="false">
      <c r="A934" s="14"/>
      <c r="B934" s="13"/>
      <c r="C934" s="13"/>
      <c r="D934" s="13"/>
      <c r="E934" s="13"/>
      <c r="F934" s="15"/>
    </row>
    <row r="935" customFormat="false" ht="15" hidden="false" customHeight="false" outlineLevel="0" collapsed="false">
      <c r="A935" s="19"/>
      <c r="B935" s="18"/>
      <c r="C935" s="18"/>
      <c r="D935" s="18"/>
      <c r="E935" s="18"/>
      <c r="F935" s="20"/>
    </row>
    <row r="936" customFormat="false" ht="15" hidden="false" customHeight="false" outlineLevel="0" collapsed="false">
      <c r="A936" s="14"/>
      <c r="B936" s="13"/>
      <c r="C936" s="13"/>
      <c r="D936" s="13"/>
      <c r="E936" s="13"/>
      <c r="F936" s="15"/>
    </row>
    <row r="937" customFormat="false" ht="15" hidden="false" customHeight="false" outlineLevel="0" collapsed="false">
      <c r="A937" s="19"/>
      <c r="B937" s="18"/>
      <c r="C937" s="18"/>
      <c r="D937" s="18"/>
      <c r="E937" s="18"/>
      <c r="F937" s="20"/>
    </row>
    <row r="938" customFormat="false" ht="15" hidden="false" customHeight="false" outlineLevel="0" collapsed="false">
      <c r="A938" s="14"/>
      <c r="B938" s="13"/>
      <c r="C938" s="13"/>
      <c r="D938" s="13"/>
      <c r="E938" s="13"/>
      <c r="F938" s="15"/>
    </row>
    <row r="939" customFormat="false" ht="15" hidden="false" customHeight="false" outlineLevel="0" collapsed="false">
      <c r="A939" s="19"/>
      <c r="B939" s="18"/>
      <c r="C939" s="18"/>
      <c r="D939" s="18"/>
      <c r="E939" s="18"/>
      <c r="F939" s="20"/>
    </row>
    <row r="940" customFormat="false" ht="15" hidden="false" customHeight="false" outlineLevel="0" collapsed="false">
      <c r="A940" s="14"/>
      <c r="B940" s="13"/>
      <c r="C940" s="13"/>
      <c r="D940" s="13"/>
      <c r="E940" s="13"/>
      <c r="F940" s="15"/>
    </row>
    <row r="941" customFormat="false" ht="15" hidden="false" customHeight="false" outlineLevel="0" collapsed="false">
      <c r="A941" s="19"/>
      <c r="B941" s="18"/>
      <c r="C941" s="18"/>
      <c r="D941" s="18"/>
      <c r="E941" s="18"/>
      <c r="F941" s="20"/>
    </row>
    <row r="942" customFormat="false" ht="15" hidden="false" customHeight="false" outlineLevel="0" collapsed="false">
      <c r="A942" s="14"/>
      <c r="B942" s="13"/>
      <c r="C942" s="13"/>
      <c r="D942" s="13"/>
      <c r="E942" s="13"/>
      <c r="F942" s="15"/>
    </row>
    <row r="943" customFormat="false" ht="15" hidden="false" customHeight="false" outlineLevel="0" collapsed="false">
      <c r="A943" s="19"/>
      <c r="B943" s="18"/>
      <c r="C943" s="18"/>
      <c r="D943" s="18"/>
      <c r="E943" s="18"/>
      <c r="F943" s="20"/>
    </row>
    <row r="944" customFormat="false" ht="15" hidden="false" customHeight="false" outlineLevel="0" collapsed="false">
      <c r="A944" s="14"/>
      <c r="B944" s="13"/>
      <c r="C944" s="13"/>
      <c r="D944" s="13"/>
      <c r="E944" s="13"/>
      <c r="F944" s="15"/>
    </row>
    <row r="945" customFormat="false" ht="15" hidden="false" customHeight="false" outlineLevel="0" collapsed="false">
      <c r="A945" s="19"/>
      <c r="B945" s="18"/>
      <c r="C945" s="18"/>
      <c r="D945" s="18"/>
      <c r="E945" s="18"/>
      <c r="F945" s="20"/>
    </row>
    <row r="946" customFormat="false" ht="15" hidden="false" customHeight="false" outlineLevel="0" collapsed="false">
      <c r="A946" s="14"/>
      <c r="B946" s="13"/>
      <c r="C946" s="13"/>
      <c r="D946" s="13"/>
      <c r="E946" s="13"/>
      <c r="F946" s="15"/>
    </row>
    <row r="947" customFormat="false" ht="15" hidden="false" customHeight="false" outlineLevel="0" collapsed="false">
      <c r="A947" s="19"/>
      <c r="B947" s="18"/>
      <c r="C947" s="18"/>
      <c r="D947" s="18"/>
      <c r="E947" s="18"/>
      <c r="F947" s="20"/>
    </row>
    <row r="948" customFormat="false" ht="15" hidden="false" customHeight="false" outlineLevel="0" collapsed="false">
      <c r="A948" s="14"/>
      <c r="B948" s="13"/>
      <c r="C948" s="13"/>
      <c r="D948" s="13"/>
      <c r="E948" s="13"/>
      <c r="F948" s="15"/>
    </row>
    <row r="949" customFormat="false" ht="15" hidden="false" customHeight="false" outlineLevel="0" collapsed="false">
      <c r="A949" s="19"/>
      <c r="B949" s="18"/>
      <c r="C949" s="18"/>
      <c r="D949" s="18"/>
      <c r="E949" s="18"/>
      <c r="F949" s="20"/>
    </row>
    <row r="950" customFormat="false" ht="15" hidden="false" customHeight="false" outlineLevel="0" collapsed="false">
      <c r="A950" s="14"/>
      <c r="B950" s="13"/>
      <c r="C950" s="13"/>
      <c r="D950" s="13"/>
      <c r="E950" s="13"/>
      <c r="F950" s="15"/>
    </row>
    <row r="951" customFormat="false" ht="15" hidden="false" customHeight="false" outlineLevel="0" collapsed="false">
      <c r="A951" s="19"/>
      <c r="B951" s="18"/>
      <c r="C951" s="18"/>
      <c r="D951" s="18"/>
      <c r="E951" s="18"/>
      <c r="F951" s="20"/>
    </row>
    <row r="952" customFormat="false" ht="15" hidden="false" customHeight="false" outlineLevel="0" collapsed="false">
      <c r="A952" s="14"/>
      <c r="B952" s="13"/>
      <c r="C952" s="13"/>
      <c r="D952" s="13"/>
      <c r="E952" s="13"/>
      <c r="F952" s="15"/>
    </row>
    <row r="953" customFormat="false" ht="15" hidden="false" customHeight="false" outlineLevel="0" collapsed="false">
      <c r="A953" s="19"/>
      <c r="B953" s="18"/>
      <c r="C953" s="18"/>
      <c r="D953" s="18"/>
      <c r="E953" s="18"/>
      <c r="F953" s="20"/>
    </row>
    <row r="954" customFormat="false" ht="15" hidden="false" customHeight="false" outlineLevel="0" collapsed="false">
      <c r="A954" s="14"/>
      <c r="B954" s="13"/>
      <c r="C954" s="13"/>
      <c r="D954" s="13"/>
      <c r="E954" s="13"/>
      <c r="F954" s="15"/>
    </row>
    <row r="955" customFormat="false" ht="15" hidden="false" customHeight="false" outlineLevel="0" collapsed="false">
      <c r="A955" s="19"/>
      <c r="B955" s="18"/>
      <c r="C955" s="18"/>
      <c r="D955" s="18"/>
      <c r="E955" s="18"/>
      <c r="F955" s="20"/>
    </row>
    <row r="956" customFormat="false" ht="15" hidden="false" customHeight="false" outlineLevel="0" collapsed="false">
      <c r="A956" s="14"/>
      <c r="B956" s="13"/>
      <c r="C956" s="13"/>
      <c r="D956" s="13"/>
      <c r="E956" s="13"/>
      <c r="F956" s="15"/>
    </row>
    <row r="957" customFormat="false" ht="15" hidden="false" customHeight="false" outlineLevel="0" collapsed="false">
      <c r="A957" s="19"/>
      <c r="B957" s="18"/>
      <c r="C957" s="18"/>
      <c r="D957" s="18"/>
      <c r="E957" s="18"/>
      <c r="F957" s="20"/>
    </row>
    <row r="958" customFormat="false" ht="15" hidden="false" customHeight="false" outlineLevel="0" collapsed="false">
      <c r="A958" s="14"/>
      <c r="B958" s="13"/>
      <c r="C958" s="13"/>
      <c r="D958" s="13"/>
      <c r="E958" s="13"/>
      <c r="F958" s="15"/>
    </row>
    <row r="959" customFormat="false" ht="15" hidden="false" customHeight="false" outlineLevel="0" collapsed="false">
      <c r="A959" s="19"/>
      <c r="B959" s="18"/>
      <c r="C959" s="18"/>
      <c r="D959" s="18"/>
      <c r="E959" s="18"/>
      <c r="F959" s="20"/>
    </row>
    <row r="960" customFormat="false" ht="15" hidden="false" customHeight="false" outlineLevel="0" collapsed="false">
      <c r="A960" s="14"/>
      <c r="B960" s="13"/>
      <c r="C960" s="13"/>
      <c r="D960" s="13"/>
      <c r="E960" s="13"/>
      <c r="F960" s="15"/>
    </row>
    <row r="961" customFormat="false" ht="15" hidden="false" customHeight="false" outlineLevel="0" collapsed="false">
      <c r="A961" s="19"/>
      <c r="B961" s="18"/>
      <c r="C961" s="18"/>
      <c r="D961" s="18"/>
      <c r="E961" s="18"/>
      <c r="F961" s="20"/>
    </row>
    <row r="962" customFormat="false" ht="15" hidden="false" customHeight="false" outlineLevel="0" collapsed="false">
      <c r="A962" s="14"/>
      <c r="B962" s="13"/>
      <c r="C962" s="13"/>
      <c r="D962" s="13"/>
      <c r="E962" s="13"/>
      <c r="F962" s="15"/>
    </row>
    <row r="963" customFormat="false" ht="15" hidden="false" customHeight="false" outlineLevel="0" collapsed="false">
      <c r="A963" s="19"/>
      <c r="B963" s="18"/>
      <c r="C963" s="18"/>
      <c r="D963" s="18"/>
      <c r="E963" s="18"/>
      <c r="F963" s="20"/>
    </row>
    <row r="964" customFormat="false" ht="15" hidden="false" customHeight="false" outlineLevel="0" collapsed="false">
      <c r="A964" s="14"/>
      <c r="B964" s="13"/>
      <c r="C964" s="13"/>
      <c r="D964" s="13"/>
      <c r="E964" s="13"/>
      <c r="F964" s="15"/>
    </row>
    <row r="965" customFormat="false" ht="15" hidden="false" customHeight="false" outlineLevel="0" collapsed="false">
      <c r="A965" s="19"/>
      <c r="B965" s="18"/>
      <c r="C965" s="18"/>
      <c r="D965" s="18"/>
      <c r="E965" s="18"/>
      <c r="F965" s="20"/>
    </row>
    <row r="966" customFormat="false" ht="15" hidden="false" customHeight="false" outlineLevel="0" collapsed="false">
      <c r="A966" s="14"/>
      <c r="B966" s="13"/>
      <c r="C966" s="13"/>
      <c r="D966" s="13"/>
      <c r="E966" s="13"/>
      <c r="F966" s="15"/>
    </row>
    <row r="967" customFormat="false" ht="15" hidden="false" customHeight="false" outlineLevel="0" collapsed="false">
      <c r="A967" s="19"/>
      <c r="B967" s="18"/>
      <c r="C967" s="18"/>
      <c r="D967" s="18"/>
      <c r="E967" s="18"/>
      <c r="F967" s="20"/>
    </row>
    <row r="968" customFormat="false" ht="15" hidden="false" customHeight="false" outlineLevel="0" collapsed="false">
      <c r="A968" s="14"/>
      <c r="B968" s="13"/>
      <c r="C968" s="13"/>
      <c r="D968" s="13"/>
      <c r="E968" s="13"/>
      <c r="F968" s="15"/>
    </row>
    <row r="969" customFormat="false" ht="15" hidden="false" customHeight="false" outlineLevel="0" collapsed="false">
      <c r="A969" s="19"/>
      <c r="B969" s="18"/>
      <c r="C969" s="18"/>
      <c r="D969" s="18"/>
      <c r="E969" s="18"/>
      <c r="F969" s="20"/>
    </row>
    <row r="970" customFormat="false" ht="15" hidden="false" customHeight="false" outlineLevel="0" collapsed="false">
      <c r="A970" s="14"/>
      <c r="B970" s="13"/>
      <c r="C970" s="13"/>
      <c r="D970" s="13"/>
      <c r="E970" s="13"/>
      <c r="F970" s="15"/>
    </row>
    <row r="971" customFormat="false" ht="15" hidden="false" customHeight="false" outlineLevel="0" collapsed="false">
      <c r="A971" s="19"/>
      <c r="B971" s="18"/>
      <c r="C971" s="18"/>
      <c r="D971" s="18"/>
      <c r="E971" s="18"/>
      <c r="F971" s="20"/>
    </row>
    <row r="972" customFormat="false" ht="15" hidden="false" customHeight="false" outlineLevel="0" collapsed="false">
      <c r="A972" s="14"/>
      <c r="B972" s="13"/>
      <c r="C972" s="13"/>
      <c r="D972" s="13"/>
      <c r="E972" s="13"/>
      <c r="F972" s="15"/>
    </row>
    <row r="973" customFormat="false" ht="15" hidden="false" customHeight="false" outlineLevel="0" collapsed="false">
      <c r="A973" s="19"/>
      <c r="B973" s="18"/>
      <c r="C973" s="18"/>
      <c r="D973" s="18"/>
      <c r="E973" s="18"/>
      <c r="F973" s="20"/>
    </row>
    <row r="974" customFormat="false" ht="15" hidden="false" customHeight="false" outlineLevel="0" collapsed="false">
      <c r="A974" s="14"/>
      <c r="B974" s="13"/>
      <c r="C974" s="13"/>
      <c r="D974" s="13"/>
      <c r="E974" s="13"/>
      <c r="F974" s="15"/>
    </row>
    <row r="975" customFormat="false" ht="15" hidden="false" customHeight="false" outlineLevel="0" collapsed="false">
      <c r="A975" s="19"/>
      <c r="B975" s="18"/>
      <c r="C975" s="18"/>
      <c r="D975" s="18"/>
      <c r="E975" s="18"/>
      <c r="F975" s="20"/>
    </row>
    <row r="976" customFormat="false" ht="15" hidden="false" customHeight="false" outlineLevel="0" collapsed="false">
      <c r="A976" s="14"/>
      <c r="B976" s="13"/>
      <c r="C976" s="13"/>
      <c r="D976" s="13"/>
      <c r="E976" s="13"/>
      <c r="F976" s="15"/>
    </row>
    <row r="977" customFormat="false" ht="15" hidden="false" customHeight="false" outlineLevel="0" collapsed="false">
      <c r="A977" s="19"/>
      <c r="B977" s="18"/>
      <c r="C977" s="18"/>
      <c r="D977" s="18"/>
      <c r="E977" s="18"/>
      <c r="F977" s="20"/>
    </row>
    <row r="978" customFormat="false" ht="15" hidden="false" customHeight="false" outlineLevel="0" collapsed="false">
      <c r="A978" s="14"/>
      <c r="B978" s="13"/>
      <c r="C978" s="13"/>
      <c r="D978" s="13"/>
      <c r="E978" s="13"/>
      <c r="F978" s="15"/>
    </row>
    <row r="979" customFormat="false" ht="15" hidden="false" customHeight="false" outlineLevel="0" collapsed="false">
      <c r="A979" s="19"/>
      <c r="B979" s="18"/>
      <c r="C979" s="18"/>
      <c r="D979" s="18"/>
      <c r="E979" s="18"/>
      <c r="F979" s="20"/>
    </row>
    <row r="980" customFormat="false" ht="15" hidden="false" customHeight="false" outlineLevel="0" collapsed="false">
      <c r="A980" s="14"/>
      <c r="B980" s="13"/>
      <c r="C980" s="13"/>
      <c r="D980" s="13"/>
      <c r="E980" s="13"/>
      <c r="F980" s="15"/>
    </row>
    <row r="981" customFormat="false" ht="15" hidden="false" customHeight="false" outlineLevel="0" collapsed="false">
      <c r="A981" s="19"/>
      <c r="B981" s="18"/>
      <c r="C981" s="18"/>
      <c r="D981" s="18"/>
      <c r="E981" s="18"/>
      <c r="F981" s="20"/>
    </row>
    <row r="982" customFormat="false" ht="15" hidden="false" customHeight="false" outlineLevel="0" collapsed="false">
      <c r="A982" s="14"/>
      <c r="B982" s="13"/>
      <c r="C982" s="13"/>
      <c r="D982" s="13"/>
      <c r="E982" s="13"/>
      <c r="F982" s="15"/>
    </row>
    <row r="983" customFormat="false" ht="15" hidden="false" customHeight="false" outlineLevel="0" collapsed="false">
      <c r="A983" s="19"/>
      <c r="B983" s="18"/>
      <c r="C983" s="18"/>
      <c r="D983" s="18"/>
      <c r="E983" s="18"/>
      <c r="F983" s="20"/>
    </row>
    <row r="984" customFormat="false" ht="15" hidden="false" customHeight="false" outlineLevel="0" collapsed="false">
      <c r="A984" s="14"/>
      <c r="B984" s="13"/>
      <c r="C984" s="13"/>
      <c r="D984" s="13"/>
      <c r="E984" s="13"/>
      <c r="F984" s="15"/>
    </row>
    <row r="985" customFormat="false" ht="15" hidden="false" customHeight="false" outlineLevel="0" collapsed="false">
      <c r="A985" s="19"/>
      <c r="B985" s="18"/>
      <c r="C985" s="18"/>
      <c r="D985" s="18"/>
      <c r="E985" s="18"/>
      <c r="F985" s="20"/>
    </row>
    <row r="986" customFormat="false" ht="15" hidden="false" customHeight="false" outlineLevel="0" collapsed="false">
      <c r="A986" s="14"/>
      <c r="B986" s="13"/>
      <c r="C986" s="13"/>
      <c r="D986" s="13"/>
      <c r="E986" s="13"/>
      <c r="F986" s="15"/>
    </row>
    <row r="987" customFormat="false" ht="15" hidden="false" customHeight="false" outlineLevel="0" collapsed="false">
      <c r="A987" s="19"/>
      <c r="B987" s="18"/>
      <c r="C987" s="18"/>
      <c r="D987" s="18"/>
      <c r="E987" s="18"/>
      <c r="F987" s="20"/>
    </row>
    <row r="988" customFormat="false" ht="15" hidden="false" customHeight="false" outlineLevel="0" collapsed="false">
      <c r="A988" s="14"/>
      <c r="B988" s="13"/>
      <c r="C988" s="13"/>
      <c r="D988" s="13"/>
      <c r="E988" s="13"/>
      <c r="F988" s="15"/>
    </row>
    <row r="989" customFormat="false" ht="15" hidden="false" customHeight="false" outlineLevel="0" collapsed="false">
      <c r="A989" s="19"/>
      <c r="B989" s="18"/>
      <c r="C989" s="18"/>
      <c r="D989" s="18"/>
      <c r="E989" s="18"/>
      <c r="F989" s="20"/>
    </row>
    <row r="990" customFormat="false" ht="15" hidden="false" customHeight="false" outlineLevel="0" collapsed="false">
      <c r="A990" s="14"/>
      <c r="B990" s="13"/>
      <c r="C990" s="13"/>
      <c r="D990" s="13"/>
      <c r="E990" s="13"/>
      <c r="F990" s="15"/>
    </row>
    <row r="991" customFormat="false" ht="15" hidden="false" customHeight="false" outlineLevel="0" collapsed="false">
      <c r="A991" s="19"/>
      <c r="B991" s="18"/>
      <c r="C991" s="18"/>
      <c r="D991" s="18"/>
      <c r="E991" s="18"/>
      <c r="F991" s="20"/>
    </row>
    <row r="992" customFormat="false" ht="15" hidden="false" customHeight="false" outlineLevel="0" collapsed="false">
      <c r="A992" s="14"/>
      <c r="B992" s="13"/>
      <c r="C992" s="13"/>
      <c r="D992" s="13"/>
      <c r="E992" s="13"/>
      <c r="F992" s="15"/>
    </row>
    <row r="993" customFormat="false" ht="15" hidden="false" customHeight="false" outlineLevel="0" collapsed="false">
      <c r="A993" s="19"/>
      <c r="B993" s="18"/>
      <c r="C993" s="18"/>
      <c r="D993" s="18"/>
      <c r="E993" s="18"/>
      <c r="F993" s="20"/>
    </row>
    <row r="994" customFormat="false" ht="15" hidden="false" customHeight="false" outlineLevel="0" collapsed="false">
      <c r="A994" s="14"/>
      <c r="B994" s="13"/>
      <c r="C994" s="13"/>
      <c r="D994" s="13"/>
      <c r="E994" s="13"/>
      <c r="F994" s="15"/>
    </row>
    <row r="995" customFormat="false" ht="15" hidden="false" customHeight="false" outlineLevel="0" collapsed="false">
      <c r="A995" s="19"/>
      <c r="B995" s="18"/>
      <c r="C995" s="18"/>
      <c r="D995" s="18"/>
      <c r="E995" s="18"/>
      <c r="F995" s="20"/>
    </row>
    <row r="996" customFormat="false" ht="15" hidden="false" customHeight="false" outlineLevel="0" collapsed="false">
      <c r="A996" s="14"/>
      <c r="B996" s="13"/>
      <c r="C996" s="13"/>
      <c r="D996" s="13"/>
      <c r="E996" s="13"/>
      <c r="F996" s="15"/>
    </row>
    <row r="997" customFormat="false" ht="15" hidden="false" customHeight="false" outlineLevel="0" collapsed="false">
      <c r="A997" s="19"/>
      <c r="B997" s="18"/>
      <c r="C997" s="18"/>
      <c r="D997" s="18"/>
      <c r="E997" s="18"/>
      <c r="F997" s="20"/>
    </row>
    <row r="998" customFormat="false" ht="15" hidden="false" customHeight="false" outlineLevel="0" collapsed="false">
      <c r="A998" s="14"/>
      <c r="B998" s="13"/>
      <c r="C998" s="13"/>
      <c r="D998" s="13"/>
      <c r="E998" s="13"/>
      <c r="F998" s="15"/>
    </row>
    <row r="999" customFormat="false" ht="15" hidden="false" customHeight="false" outlineLevel="0" collapsed="false">
      <c r="A999" s="19"/>
      <c r="B999" s="18"/>
      <c r="C999" s="18"/>
      <c r="D999" s="18"/>
      <c r="E999" s="18"/>
      <c r="F999" s="20"/>
    </row>
    <row r="1000" customFormat="false" ht="15" hidden="false" customHeight="false" outlineLevel="0" collapsed="false">
      <c r="A1000" s="14"/>
      <c r="B1000" s="13"/>
      <c r="C1000" s="13"/>
      <c r="D1000" s="13"/>
      <c r="E1000" s="13"/>
      <c r="F1000" s="15"/>
    </row>
    <row r="1001" customFormat="false" ht="15" hidden="false" customHeight="false" outlineLevel="0" collapsed="false">
      <c r="A1001" s="19"/>
      <c r="B1001" s="18"/>
      <c r="C1001" s="18"/>
      <c r="D1001" s="18"/>
      <c r="E1001" s="18"/>
      <c r="F1001" s="20"/>
    </row>
  </sheetData>
  <sheetProtection sheet="true" formatCells="false" formatColumns="false" formatRows="false" sort="false" autoFilter="false"/>
  <dataValidations count="2">
    <dataValidation allowBlank="true" errorStyle="stop" operator="between" showDropDown="false" showErrorMessage="false" showInputMessage="false" sqref="B2:B1001" type="list">
      <formula1>Jobs!$A$2:$A$51</formula1>
      <formula2>0</formula2>
    </dataValidation>
    <dataValidation allowBlank="true" errorStyle="stop" operator="between" showDropDown="false" showErrorMessage="false" showInputMessage="false" sqref="C2:C1001" type="list">
      <formula1>"Labor,Materials,Subcontractors,Equipment,Other"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34"/>
    <col collapsed="false" customWidth="true" hidden="false" outlineLevel="0" max="5" min="5" style="0" width="18"/>
  </cols>
  <sheetData>
    <row r="1" customFormat="false" ht="31.5" hidden="false" customHeight="true" outlineLevel="0" collapsed="false">
      <c r="A1" s="6" t="s">
        <v>52</v>
      </c>
      <c r="B1" s="6" t="s">
        <v>27</v>
      </c>
      <c r="C1" s="6" t="s">
        <v>73</v>
      </c>
      <c r="D1" s="6" t="s">
        <v>74</v>
      </c>
      <c r="E1" s="6" t="s">
        <v>75</v>
      </c>
    </row>
    <row r="2" customFormat="false" ht="15" hidden="false" customHeight="false" outlineLevel="0" collapsed="false">
      <c r="A2" s="14" t="n">
        <v>46027</v>
      </c>
      <c r="B2" s="13" t="s">
        <v>41</v>
      </c>
      <c r="C2" s="13" t="s">
        <v>76</v>
      </c>
      <c r="D2" s="13" t="s">
        <v>77</v>
      </c>
      <c r="E2" s="15" t="n">
        <v>14400</v>
      </c>
    </row>
    <row r="3" customFormat="false" ht="15" hidden="false" customHeight="false" outlineLevel="0" collapsed="false">
      <c r="A3" s="19" t="n">
        <v>46034</v>
      </c>
      <c r="B3" s="18" t="s">
        <v>45</v>
      </c>
      <c r="C3" s="18" t="s">
        <v>78</v>
      </c>
      <c r="D3" s="18" t="s">
        <v>79</v>
      </c>
      <c r="E3" s="20" t="n">
        <v>11000</v>
      </c>
    </row>
    <row r="4" customFormat="false" ht="15" hidden="false" customHeight="false" outlineLevel="0" collapsed="false">
      <c r="A4" s="14" t="n">
        <v>46052</v>
      </c>
      <c r="B4" s="13" t="s">
        <v>45</v>
      </c>
      <c r="C4" s="13" t="s">
        <v>80</v>
      </c>
      <c r="D4" s="13" t="s">
        <v>81</v>
      </c>
      <c r="E4" s="15" t="n">
        <v>11000</v>
      </c>
    </row>
    <row r="5" customFormat="false" ht="15" hidden="false" customHeight="false" outlineLevel="0" collapsed="false">
      <c r="A5" s="19" t="n">
        <v>46055</v>
      </c>
      <c r="B5" s="18" t="s">
        <v>49</v>
      </c>
      <c r="C5" s="18" t="s">
        <v>82</v>
      </c>
      <c r="D5" s="18" t="s">
        <v>83</v>
      </c>
      <c r="E5" s="20" t="n">
        <v>15250</v>
      </c>
    </row>
    <row r="6" customFormat="false" ht="15" hidden="false" customHeight="false" outlineLevel="0" collapsed="false">
      <c r="A6" s="14" t="n">
        <v>46073</v>
      </c>
      <c r="B6" s="13" t="s">
        <v>41</v>
      </c>
      <c r="C6" s="13" t="s">
        <v>84</v>
      </c>
      <c r="D6" s="13" t="s">
        <v>85</v>
      </c>
      <c r="E6" s="15" t="n">
        <v>19200</v>
      </c>
    </row>
    <row r="7" customFormat="false" ht="15" hidden="false" customHeight="false" outlineLevel="0" collapsed="false">
      <c r="A7" s="19"/>
      <c r="B7" s="18"/>
      <c r="C7" s="18"/>
      <c r="D7" s="18"/>
      <c r="E7" s="20"/>
    </row>
    <row r="8" customFormat="false" ht="15" hidden="false" customHeight="false" outlineLevel="0" collapsed="false">
      <c r="A8" s="14"/>
      <c r="B8" s="13"/>
      <c r="C8" s="13"/>
      <c r="D8" s="13"/>
      <c r="E8" s="15"/>
    </row>
    <row r="9" customFormat="false" ht="15" hidden="false" customHeight="false" outlineLevel="0" collapsed="false">
      <c r="A9" s="19"/>
      <c r="B9" s="18"/>
      <c r="C9" s="18"/>
      <c r="D9" s="18"/>
      <c r="E9" s="20"/>
    </row>
    <row r="10" customFormat="false" ht="15" hidden="false" customHeight="false" outlineLevel="0" collapsed="false">
      <c r="A10" s="14"/>
      <c r="B10" s="13"/>
      <c r="C10" s="13"/>
      <c r="D10" s="13"/>
      <c r="E10" s="15"/>
    </row>
    <row r="11" customFormat="false" ht="15" hidden="false" customHeight="false" outlineLevel="0" collapsed="false">
      <c r="A11" s="19"/>
      <c r="B11" s="18"/>
      <c r="C11" s="18"/>
      <c r="D11" s="18"/>
      <c r="E11" s="20"/>
    </row>
    <row r="12" customFormat="false" ht="15" hidden="false" customHeight="false" outlineLevel="0" collapsed="false">
      <c r="A12" s="14"/>
      <c r="B12" s="13"/>
      <c r="C12" s="13"/>
      <c r="D12" s="13"/>
      <c r="E12" s="15"/>
    </row>
    <row r="13" customFormat="false" ht="15" hidden="false" customHeight="false" outlineLevel="0" collapsed="false">
      <c r="A13" s="19"/>
      <c r="B13" s="18"/>
      <c r="C13" s="18"/>
      <c r="D13" s="18"/>
      <c r="E13" s="20"/>
    </row>
    <row r="14" customFormat="false" ht="15" hidden="false" customHeight="false" outlineLevel="0" collapsed="false">
      <c r="A14" s="14"/>
      <c r="B14" s="13"/>
      <c r="C14" s="13"/>
      <c r="D14" s="13"/>
      <c r="E14" s="15"/>
    </row>
    <row r="15" customFormat="false" ht="15" hidden="false" customHeight="false" outlineLevel="0" collapsed="false">
      <c r="A15" s="19"/>
      <c r="B15" s="18"/>
      <c r="C15" s="18"/>
      <c r="D15" s="18"/>
      <c r="E15" s="20"/>
    </row>
    <row r="16" customFormat="false" ht="15" hidden="false" customHeight="false" outlineLevel="0" collapsed="false">
      <c r="A16" s="14"/>
      <c r="B16" s="13"/>
      <c r="C16" s="13"/>
      <c r="D16" s="13"/>
      <c r="E16" s="15"/>
    </row>
    <row r="17" customFormat="false" ht="15" hidden="false" customHeight="false" outlineLevel="0" collapsed="false">
      <c r="A17" s="19"/>
      <c r="B17" s="18"/>
      <c r="C17" s="18"/>
      <c r="D17" s="18"/>
      <c r="E17" s="20"/>
    </row>
    <row r="18" customFormat="false" ht="15" hidden="false" customHeight="false" outlineLevel="0" collapsed="false">
      <c r="A18" s="14"/>
      <c r="B18" s="13"/>
      <c r="C18" s="13"/>
      <c r="D18" s="13"/>
      <c r="E18" s="15"/>
    </row>
    <row r="19" customFormat="false" ht="15" hidden="false" customHeight="false" outlineLevel="0" collapsed="false">
      <c r="A19" s="19"/>
      <c r="B19" s="18"/>
      <c r="C19" s="18"/>
      <c r="D19" s="18"/>
      <c r="E19" s="20"/>
    </row>
    <row r="20" customFormat="false" ht="15" hidden="false" customHeight="false" outlineLevel="0" collapsed="false">
      <c r="A20" s="14"/>
      <c r="B20" s="13"/>
      <c r="C20" s="13"/>
      <c r="D20" s="13"/>
      <c r="E20" s="15"/>
    </row>
    <row r="21" customFormat="false" ht="15" hidden="false" customHeight="false" outlineLevel="0" collapsed="false">
      <c r="A21" s="19"/>
      <c r="B21" s="18"/>
      <c r="C21" s="18"/>
      <c r="D21" s="18"/>
      <c r="E21" s="20"/>
    </row>
    <row r="22" customFormat="false" ht="15" hidden="false" customHeight="false" outlineLevel="0" collapsed="false">
      <c r="A22" s="14"/>
      <c r="B22" s="13"/>
      <c r="C22" s="13"/>
      <c r="D22" s="13"/>
      <c r="E22" s="15"/>
    </row>
    <row r="23" customFormat="false" ht="15" hidden="false" customHeight="false" outlineLevel="0" collapsed="false">
      <c r="A23" s="19"/>
      <c r="B23" s="18"/>
      <c r="C23" s="18"/>
      <c r="D23" s="18"/>
      <c r="E23" s="20"/>
    </row>
    <row r="24" customFormat="false" ht="15" hidden="false" customHeight="false" outlineLevel="0" collapsed="false">
      <c r="A24" s="14"/>
      <c r="B24" s="13"/>
      <c r="C24" s="13"/>
      <c r="D24" s="13"/>
      <c r="E24" s="15"/>
    </row>
    <row r="25" customFormat="false" ht="15" hidden="false" customHeight="false" outlineLevel="0" collapsed="false">
      <c r="A25" s="19"/>
      <c r="B25" s="18"/>
      <c r="C25" s="18"/>
      <c r="D25" s="18"/>
      <c r="E25" s="20"/>
    </row>
    <row r="26" customFormat="false" ht="15" hidden="false" customHeight="false" outlineLevel="0" collapsed="false">
      <c r="A26" s="14"/>
      <c r="B26" s="13"/>
      <c r="C26" s="13"/>
      <c r="D26" s="13"/>
      <c r="E26" s="15"/>
    </row>
    <row r="27" customFormat="false" ht="15" hidden="false" customHeight="false" outlineLevel="0" collapsed="false">
      <c r="A27" s="19"/>
      <c r="B27" s="18"/>
      <c r="C27" s="18"/>
      <c r="D27" s="18"/>
      <c r="E27" s="20"/>
    </row>
    <row r="28" customFormat="false" ht="15" hidden="false" customHeight="false" outlineLevel="0" collapsed="false">
      <c r="A28" s="14"/>
      <c r="B28" s="13"/>
      <c r="C28" s="13"/>
      <c r="D28" s="13"/>
      <c r="E28" s="15"/>
    </row>
    <row r="29" customFormat="false" ht="15" hidden="false" customHeight="false" outlineLevel="0" collapsed="false">
      <c r="A29" s="19"/>
      <c r="B29" s="18"/>
      <c r="C29" s="18"/>
      <c r="D29" s="18"/>
      <c r="E29" s="20"/>
    </row>
    <row r="30" customFormat="false" ht="15" hidden="false" customHeight="false" outlineLevel="0" collapsed="false">
      <c r="A30" s="14"/>
      <c r="B30" s="13"/>
      <c r="C30" s="13"/>
      <c r="D30" s="13"/>
      <c r="E30" s="15"/>
    </row>
    <row r="31" customFormat="false" ht="15" hidden="false" customHeight="false" outlineLevel="0" collapsed="false">
      <c r="A31" s="19"/>
      <c r="B31" s="18"/>
      <c r="C31" s="18"/>
      <c r="D31" s="18"/>
      <c r="E31" s="20"/>
    </row>
    <row r="32" customFormat="false" ht="15" hidden="false" customHeight="false" outlineLevel="0" collapsed="false">
      <c r="A32" s="14"/>
      <c r="B32" s="13"/>
      <c r="C32" s="13"/>
      <c r="D32" s="13"/>
      <c r="E32" s="15"/>
    </row>
    <row r="33" customFormat="false" ht="15" hidden="false" customHeight="false" outlineLevel="0" collapsed="false">
      <c r="A33" s="19"/>
      <c r="B33" s="18"/>
      <c r="C33" s="18"/>
      <c r="D33" s="18"/>
      <c r="E33" s="20"/>
    </row>
    <row r="34" customFormat="false" ht="15" hidden="false" customHeight="false" outlineLevel="0" collapsed="false">
      <c r="A34" s="14"/>
      <c r="B34" s="13"/>
      <c r="C34" s="13"/>
      <c r="D34" s="13"/>
      <c r="E34" s="15"/>
    </row>
    <row r="35" customFormat="false" ht="15" hidden="false" customHeight="false" outlineLevel="0" collapsed="false">
      <c r="A35" s="19"/>
      <c r="B35" s="18"/>
      <c r="C35" s="18"/>
      <c r="D35" s="18"/>
      <c r="E35" s="20"/>
    </row>
    <row r="36" customFormat="false" ht="15" hidden="false" customHeight="false" outlineLevel="0" collapsed="false">
      <c r="A36" s="14"/>
      <c r="B36" s="13"/>
      <c r="C36" s="13"/>
      <c r="D36" s="13"/>
      <c r="E36" s="15"/>
    </row>
    <row r="37" customFormat="false" ht="15" hidden="false" customHeight="false" outlineLevel="0" collapsed="false">
      <c r="A37" s="19"/>
      <c r="B37" s="18"/>
      <c r="C37" s="18"/>
      <c r="D37" s="18"/>
      <c r="E37" s="20"/>
    </row>
    <row r="38" customFormat="false" ht="15" hidden="false" customHeight="false" outlineLevel="0" collapsed="false">
      <c r="A38" s="14"/>
      <c r="B38" s="13"/>
      <c r="C38" s="13"/>
      <c r="D38" s="13"/>
      <c r="E38" s="15"/>
    </row>
    <row r="39" customFormat="false" ht="15" hidden="false" customHeight="false" outlineLevel="0" collapsed="false">
      <c r="A39" s="19"/>
      <c r="B39" s="18"/>
      <c r="C39" s="18"/>
      <c r="D39" s="18"/>
      <c r="E39" s="20"/>
    </row>
    <row r="40" customFormat="false" ht="15" hidden="false" customHeight="false" outlineLevel="0" collapsed="false">
      <c r="A40" s="14"/>
      <c r="B40" s="13"/>
      <c r="C40" s="13"/>
      <c r="D40" s="13"/>
      <c r="E40" s="15"/>
    </row>
    <row r="41" customFormat="false" ht="15" hidden="false" customHeight="false" outlineLevel="0" collapsed="false">
      <c r="A41" s="19"/>
      <c r="B41" s="18"/>
      <c r="C41" s="18"/>
      <c r="D41" s="18"/>
      <c r="E41" s="20"/>
    </row>
    <row r="42" customFormat="false" ht="15" hidden="false" customHeight="false" outlineLevel="0" collapsed="false">
      <c r="A42" s="14"/>
      <c r="B42" s="13"/>
      <c r="C42" s="13"/>
      <c r="D42" s="13"/>
      <c r="E42" s="15"/>
    </row>
    <row r="43" customFormat="false" ht="15" hidden="false" customHeight="false" outlineLevel="0" collapsed="false">
      <c r="A43" s="19"/>
      <c r="B43" s="18"/>
      <c r="C43" s="18"/>
      <c r="D43" s="18"/>
      <c r="E43" s="20"/>
    </row>
    <row r="44" customFormat="false" ht="15" hidden="false" customHeight="false" outlineLevel="0" collapsed="false">
      <c r="A44" s="14"/>
      <c r="B44" s="13"/>
      <c r="C44" s="13"/>
      <c r="D44" s="13"/>
      <c r="E44" s="15"/>
    </row>
    <row r="45" customFormat="false" ht="15" hidden="false" customHeight="false" outlineLevel="0" collapsed="false">
      <c r="A45" s="19"/>
      <c r="B45" s="18"/>
      <c r="C45" s="18"/>
      <c r="D45" s="18"/>
      <c r="E45" s="20"/>
    </row>
    <row r="46" customFormat="false" ht="15" hidden="false" customHeight="false" outlineLevel="0" collapsed="false">
      <c r="A46" s="14"/>
      <c r="B46" s="13"/>
      <c r="C46" s="13"/>
      <c r="D46" s="13"/>
      <c r="E46" s="15"/>
    </row>
    <row r="47" customFormat="false" ht="15" hidden="false" customHeight="false" outlineLevel="0" collapsed="false">
      <c r="A47" s="19"/>
      <c r="B47" s="18"/>
      <c r="C47" s="18"/>
      <c r="D47" s="18"/>
      <c r="E47" s="20"/>
    </row>
    <row r="48" customFormat="false" ht="15" hidden="false" customHeight="false" outlineLevel="0" collapsed="false">
      <c r="A48" s="14"/>
      <c r="B48" s="13"/>
      <c r="C48" s="13"/>
      <c r="D48" s="13"/>
      <c r="E48" s="15"/>
    </row>
    <row r="49" customFormat="false" ht="15" hidden="false" customHeight="false" outlineLevel="0" collapsed="false">
      <c r="A49" s="19"/>
      <c r="B49" s="18"/>
      <c r="C49" s="18"/>
      <c r="D49" s="18"/>
      <c r="E49" s="20"/>
    </row>
    <row r="50" customFormat="false" ht="15" hidden="false" customHeight="false" outlineLevel="0" collapsed="false">
      <c r="A50" s="14"/>
      <c r="B50" s="13"/>
      <c r="C50" s="13"/>
      <c r="D50" s="13"/>
      <c r="E50" s="15"/>
    </row>
    <row r="51" customFormat="false" ht="15" hidden="false" customHeight="false" outlineLevel="0" collapsed="false">
      <c r="A51" s="19"/>
      <c r="B51" s="18"/>
      <c r="C51" s="18"/>
      <c r="D51" s="18"/>
      <c r="E51" s="20"/>
    </row>
    <row r="52" customFormat="false" ht="15" hidden="false" customHeight="false" outlineLevel="0" collapsed="false">
      <c r="A52" s="14"/>
      <c r="B52" s="13"/>
      <c r="C52" s="13"/>
      <c r="D52" s="13"/>
      <c r="E52" s="15"/>
    </row>
    <row r="53" customFormat="false" ht="15" hidden="false" customHeight="false" outlineLevel="0" collapsed="false">
      <c r="A53" s="19"/>
      <c r="B53" s="18"/>
      <c r="C53" s="18"/>
      <c r="D53" s="18"/>
      <c r="E53" s="20"/>
    </row>
    <row r="54" customFormat="false" ht="15" hidden="false" customHeight="false" outlineLevel="0" collapsed="false">
      <c r="A54" s="14"/>
      <c r="B54" s="13"/>
      <c r="C54" s="13"/>
      <c r="D54" s="13"/>
      <c r="E54" s="15"/>
    </row>
    <row r="55" customFormat="false" ht="15" hidden="false" customHeight="false" outlineLevel="0" collapsed="false">
      <c r="A55" s="19"/>
      <c r="B55" s="18"/>
      <c r="C55" s="18"/>
      <c r="D55" s="18"/>
      <c r="E55" s="20"/>
    </row>
    <row r="56" customFormat="false" ht="15" hidden="false" customHeight="false" outlineLevel="0" collapsed="false">
      <c r="A56" s="14"/>
      <c r="B56" s="13"/>
      <c r="C56" s="13"/>
      <c r="D56" s="13"/>
      <c r="E56" s="15"/>
    </row>
    <row r="57" customFormat="false" ht="15" hidden="false" customHeight="false" outlineLevel="0" collapsed="false">
      <c r="A57" s="19"/>
      <c r="B57" s="18"/>
      <c r="C57" s="18"/>
      <c r="D57" s="18"/>
      <c r="E57" s="20"/>
    </row>
    <row r="58" customFormat="false" ht="15" hidden="false" customHeight="false" outlineLevel="0" collapsed="false">
      <c r="A58" s="14"/>
      <c r="B58" s="13"/>
      <c r="C58" s="13"/>
      <c r="D58" s="13"/>
      <c r="E58" s="15"/>
    </row>
    <row r="59" customFormat="false" ht="15" hidden="false" customHeight="false" outlineLevel="0" collapsed="false">
      <c r="A59" s="19"/>
      <c r="B59" s="18"/>
      <c r="C59" s="18"/>
      <c r="D59" s="18"/>
      <c r="E59" s="20"/>
    </row>
    <row r="60" customFormat="false" ht="15" hidden="false" customHeight="false" outlineLevel="0" collapsed="false">
      <c r="A60" s="14"/>
      <c r="B60" s="13"/>
      <c r="C60" s="13"/>
      <c r="D60" s="13"/>
      <c r="E60" s="15"/>
    </row>
    <row r="61" customFormat="false" ht="15" hidden="false" customHeight="false" outlineLevel="0" collapsed="false">
      <c r="A61" s="19"/>
      <c r="B61" s="18"/>
      <c r="C61" s="18"/>
      <c r="D61" s="18"/>
      <c r="E61" s="20"/>
    </row>
    <row r="62" customFormat="false" ht="15" hidden="false" customHeight="false" outlineLevel="0" collapsed="false">
      <c r="A62" s="14"/>
      <c r="B62" s="13"/>
      <c r="C62" s="13"/>
      <c r="D62" s="13"/>
      <c r="E62" s="15"/>
    </row>
    <row r="63" customFormat="false" ht="15" hidden="false" customHeight="false" outlineLevel="0" collapsed="false">
      <c r="A63" s="19"/>
      <c r="B63" s="18"/>
      <c r="C63" s="18"/>
      <c r="D63" s="18"/>
      <c r="E63" s="20"/>
    </row>
    <row r="64" customFormat="false" ht="15" hidden="false" customHeight="false" outlineLevel="0" collapsed="false">
      <c r="A64" s="14"/>
      <c r="B64" s="13"/>
      <c r="C64" s="13"/>
      <c r="D64" s="13"/>
      <c r="E64" s="15"/>
    </row>
    <row r="65" customFormat="false" ht="15" hidden="false" customHeight="false" outlineLevel="0" collapsed="false">
      <c r="A65" s="19"/>
      <c r="B65" s="18"/>
      <c r="C65" s="18"/>
      <c r="D65" s="18"/>
      <c r="E65" s="20"/>
    </row>
    <row r="66" customFormat="false" ht="15" hidden="false" customHeight="false" outlineLevel="0" collapsed="false">
      <c r="A66" s="14"/>
      <c r="B66" s="13"/>
      <c r="C66" s="13"/>
      <c r="D66" s="13"/>
      <c r="E66" s="15"/>
    </row>
    <row r="67" customFormat="false" ht="15" hidden="false" customHeight="false" outlineLevel="0" collapsed="false">
      <c r="A67" s="19"/>
      <c r="B67" s="18"/>
      <c r="C67" s="18"/>
      <c r="D67" s="18"/>
      <c r="E67" s="20"/>
    </row>
    <row r="68" customFormat="false" ht="15" hidden="false" customHeight="false" outlineLevel="0" collapsed="false">
      <c r="A68" s="14"/>
      <c r="B68" s="13"/>
      <c r="C68" s="13"/>
      <c r="D68" s="13"/>
      <c r="E68" s="15"/>
    </row>
    <row r="69" customFormat="false" ht="15" hidden="false" customHeight="false" outlineLevel="0" collapsed="false">
      <c r="A69" s="19"/>
      <c r="B69" s="18"/>
      <c r="C69" s="18"/>
      <c r="D69" s="18"/>
      <c r="E69" s="20"/>
    </row>
    <row r="70" customFormat="false" ht="15" hidden="false" customHeight="false" outlineLevel="0" collapsed="false">
      <c r="A70" s="14"/>
      <c r="B70" s="13"/>
      <c r="C70" s="13"/>
      <c r="D70" s="13"/>
      <c r="E70" s="15"/>
    </row>
    <row r="71" customFormat="false" ht="15" hidden="false" customHeight="false" outlineLevel="0" collapsed="false">
      <c r="A71" s="19"/>
      <c r="B71" s="18"/>
      <c r="C71" s="18"/>
      <c r="D71" s="18"/>
      <c r="E71" s="20"/>
    </row>
    <row r="72" customFormat="false" ht="15" hidden="false" customHeight="false" outlineLevel="0" collapsed="false">
      <c r="A72" s="14"/>
      <c r="B72" s="13"/>
      <c r="C72" s="13"/>
      <c r="D72" s="13"/>
      <c r="E72" s="15"/>
    </row>
    <row r="73" customFormat="false" ht="15" hidden="false" customHeight="false" outlineLevel="0" collapsed="false">
      <c r="A73" s="19"/>
      <c r="B73" s="18"/>
      <c r="C73" s="18"/>
      <c r="D73" s="18"/>
      <c r="E73" s="20"/>
    </row>
    <row r="74" customFormat="false" ht="15" hidden="false" customHeight="false" outlineLevel="0" collapsed="false">
      <c r="A74" s="14"/>
      <c r="B74" s="13"/>
      <c r="C74" s="13"/>
      <c r="D74" s="13"/>
      <c r="E74" s="15"/>
    </row>
    <row r="75" customFormat="false" ht="15" hidden="false" customHeight="false" outlineLevel="0" collapsed="false">
      <c r="A75" s="19"/>
      <c r="B75" s="18"/>
      <c r="C75" s="18"/>
      <c r="D75" s="18"/>
      <c r="E75" s="20"/>
    </row>
    <row r="76" customFormat="false" ht="15" hidden="false" customHeight="false" outlineLevel="0" collapsed="false">
      <c r="A76" s="14"/>
      <c r="B76" s="13"/>
      <c r="C76" s="13"/>
      <c r="D76" s="13"/>
      <c r="E76" s="15"/>
    </row>
    <row r="77" customFormat="false" ht="15" hidden="false" customHeight="false" outlineLevel="0" collapsed="false">
      <c r="A77" s="19"/>
      <c r="B77" s="18"/>
      <c r="C77" s="18"/>
      <c r="D77" s="18"/>
      <c r="E77" s="20"/>
    </row>
    <row r="78" customFormat="false" ht="15" hidden="false" customHeight="false" outlineLevel="0" collapsed="false">
      <c r="A78" s="14"/>
      <c r="B78" s="13"/>
      <c r="C78" s="13"/>
      <c r="D78" s="13"/>
      <c r="E78" s="15"/>
    </row>
    <row r="79" customFormat="false" ht="15" hidden="false" customHeight="false" outlineLevel="0" collapsed="false">
      <c r="A79" s="19"/>
      <c r="B79" s="18"/>
      <c r="C79" s="18"/>
      <c r="D79" s="18"/>
      <c r="E79" s="20"/>
    </row>
    <row r="80" customFormat="false" ht="15" hidden="false" customHeight="false" outlineLevel="0" collapsed="false">
      <c r="A80" s="14"/>
      <c r="B80" s="13"/>
      <c r="C80" s="13"/>
      <c r="D80" s="13"/>
      <c r="E80" s="15"/>
    </row>
    <row r="81" customFormat="false" ht="15" hidden="false" customHeight="false" outlineLevel="0" collapsed="false">
      <c r="A81" s="19"/>
      <c r="B81" s="18"/>
      <c r="C81" s="18"/>
      <c r="D81" s="18"/>
      <c r="E81" s="20"/>
    </row>
    <row r="82" customFormat="false" ht="15" hidden="false" customHeight="false" outlineLevel="0" collapsed="false">
      <c r="A82" s="14"/>
      <c r="B82" s="13"/>
      <c r="C82" s="13"/>
      <c r="D82" s="13"/>
      <c r="E82" s="15"/>
    </row>
    <row r="83" customFormat="false" ht="15" hidden="false" customHeight="false" outlineLevel="0" collapsed="false">
      <c r="A83" s="19"/>
      <c r="B83" s="18"/>
      <c r="C83" s="18"/>
      <c r="D83" s="18"/>
      <c r="E83" s="20"/>
    </row>
    <row r="84" customFormat="false" ht="15" hidden="false" customHeight="false" outlineLevel="0" collapsed="false">
      <c r="A84" s="14"/>
      <c r="B84" s="13"/>
      <c r="C84" s="13"/>
      <c r="D84" s="13"/>
      <c r="E84" s="15"/>
    </row>
    <row r="85" customFormat="false" ht="15" hidden="false" customHeight="false" outlineLevel="0" collapsed="false">
      <c r="A85" s="19"/>
      <c r="B85" s="18"/>
      <c r="C85" s="18"/>
      <c r="D85" s="18"/>
      <c r="E85" s="20"/>
    </row>
    <row r="86" customFormat="false" ht="15" hidden="false" customHeight="false" outlineLevel="0" collapsed="false">
      <c r="A86" s="14"/>
      <c r="B86" s="13"/>
      <c r="C86" s="13"/>
      <c r="D86" s="13"/>
      <c r="E86" s="15"/>
    </row>
    <row r="87" customFormat="false" ht="15" hidden="false" customHeight="false" outlineLevel="0" collapsed="false">
      <c r="A87" s="19"/>
      <c r="B87" s="18"/>
      <c r="C87" s="18"/>
      <c r="D87" s="18"/>
      <c r="E87" s="20"/>
    </row>
    <row r="88" customFormat="false" ht="15" hidden="false" customHeight="false" outlineLevel="0" collapsed="false">
      <c r="A88" s="14"/>
      <c r="B88" s="13"/>
      <c r="C88" s="13"/>
      <c r="D88" s="13"/>
      <c r="E88" s="15"/>
    </row>
    <row r="89" customFormat="false" ht="15" hidden="false" customHeight="false" outlineLevel="0" collapsed="false">
      <c r="A89" s="19"/>
      <c r="B89" s="18"/>
      <c r="C89" s="18"/>
      <c r="D89" s="18"/>
      <c r="E89" s="20"/>
    </row>
    <row r="90" customFormat="false" ht="15" hidden="false" customHeight="false" outlineLevel="0" collapsed="false">
      <c r="A90" s="14"/>
      <c r="B90" s="13"/>
      <c r="C90" s="13"/>
      <c r="D90" s="13"/>
      <c r="E90" s="15"/>
    </row>
    <row r="91" customFormat="false" ht="15" hidden="false" customHeight="false" outlineLevel="0" collapsed="false">
      <c r="A91" s="19"/>
      <c r="B91" s="18"/>
      <c r="C91" s="18"/>
      <c r="D91" s="18"/>
      <c r="E91" s="20"/>
    </row>
    <row r="92" customFormat="false" ht="15" hidden="false" customHeight="false" outlineLevel="0" collapsed="false">
      <c r="A92" s="14"/>
      <c r="B92" s="13"/>
      <c r="C92" s="13"/>
      <c r="D92" s="13"/>
      <c r="E92" s="15"/>
    </row>
    <row r="93" customFormat="false" ht="15" hidden="false" customHeight="false" outlineLevel="0" collapsed="false">
      <c r="A93" s="19"/>
      <c r="B93" s="18"/>
      <c r="C93" s="18"/>
      <c r="D93" s="18"/>
      <c r="E93" s="20"/>
    </row>
    <row r="94" customFormat="false" ht="15" hidden="false" customHeight="false" outlineLevel="0" collapsed="false">
      <c r="A94" s="14"/>
      <c r="B94" s="13"/>
      <c r="C94" s="13"/>
      <c r="D94" s="13"/>
      <c r="E94" s="15"/>
    </row>
    <row r="95" customFormat="false" ht="15" hidden="false" customHeight="false" outlineLevel="0" collapsed="false">
      <c r="A95" s="19"/>
      <c r="B95" s="18"/>
      <c r="C95" s="18"/>
      <c r="D95" s="18"/>
      <c r="E95" s="20"/>
    </row>
    <row r="96" customFormat="false" ht="15" hidden="false" customHeight="false" outlineLevel="0" collapsed="false">
      <c r="A96" s="14"/>
      <c r="B96" s="13"/>
      <c r="C96" s="13"/>
      <c r="D96" s="13"/>
      <c r="E96" s="15"/>
    </row>
    <row r="97" customFormat="false" ht="15" hidden="false" customHeight="false" outlineLevel="0" collapsed="false">
      <c r="A97" s="19"/>
      <c r="B97" s="18"/>
      <c r="C97" s="18"/>
      <c r="D97" s="18"/>
      <c r="E97" s="20"/>
    </row>
    <row r="98" customFormat="false" ht="15" hidden="false" customHeight="false" outlineLevel="0" collapsed="false">
      <c r="A98" s="14"/>
      <c r="B98" s="13"/>
      <c r="C98" s="13"/>
      <c r="D98" s="13"/>
      <c r="E98" s="15"/>
    </row>
    <row r="99" customFormat="false" ht="15" hidden="false" customHeight="false" outlineLevel="0" collapsed="false">
      <c r="A99" s="19"/>
      <c r="B99" s="18"/>
      <c r="C99" s="18"/>
      <c r="D99" s="18"/>
      <c r="E99" s="20"/>
    </row>
    <row r="100" customFormat="false" ht="15" hidden="false" customHeight="false" outlineLevel="0" collapsed="false">
      <c r="A100" s="14"/>
      <c r="B100" s="13"/>
      <c r="C100" s="13"/>
      <c r="D100" s="13"/>
      <c r="E100" s="15"/>
    </row>
    <row r="101" customFormat="false" ht="15" hidden="false" customHeight="false" outlineLevel="0" collapsed="false">
      <c r="A101" s="19"/>
      <c r="B101" s="18"/>
      <c r="C101" s="18"/>
      <c r="D101" s="18"/>
      <c r="E101" s="20"/>
    </row>
    <row r="102" customFormat="false" ht="15" hidden="false" customHeight="false" outlineLevel="0" collapsed="false">
      <c r="A102" s="14"/>
      <c r="B102" s="13"/>
      <c r="C102" s="13"/>
      <c r="D102" s="13"/>
      <c r="E102" s="15"/>
    </row>
    <row r="103" customFormat="false" ht="15" hidden="false" customHeight="false" outlineLevel="0" collapsed="false">
      <c r="A103" s="19"/>
      <c r="B103" s="18"/>
      <c r="C103" s="18"/>
      <c r="D103" s="18"/>
      <c r="E103" s="20"/>
    </row>
    <row r="104" customFormat="false" ht="15" hidden="false" customHeight="false" outlineLevel="0" collapsed="false">
      <c r="A104" s="14"/>
      <c r="B104" s="13"/>
      <c r="C104" s="13"/>
      <c r="D104" s="13"/>
      <c r="E104" s="15"/>
    </row>
    <row r="105" customFormat="false" ht="15" hidden="false" customHeight="false" outlineLevel="0" collapsed="false">
      <c r="A105" s="19"/>
      <c r="B105" s="18"/>
      <c r="C105" s="18"/>
      <c r="D105" s="18"/>
      <c r="E105" s="20"/>
    </row>
    <row r="106" customFormat="false" ht="15" hidden="false" customHeight="false" outlineLevel="0" collapsed="false">
      <c r="A106" s="14"/>
      <c r="B106" s="13"/>
      <c r="C106" s="13"/>
      <c r="D106" s="13"/>
      <c r="E106" s="15"/>
    </row>
    <row r="107" customFormat="false" ht="15" hidden="false" customHeight="false" outlineLevel="0" collapsed="false">
      <c r="A107" s="19"/>
      <c r="B107" s="18"/>
      <c r="C107" s="18"/>
      <c r="D107" s="18"/>
      <c r="E107" s="20"/>
    </row>
    <row r="108" customFormat="false" ht="15" hidden="false" customHeight="false" outlineLevel="0" collapsed="false">
      <c r="A108" s="14"/>
      <c r="B108" s="13"/>
      <c r="C108" s="13"/>
      <c r="D108" s="13"/>
      <c r="E108" s="15"/>
    </row>
    <row r="109" customFormat="false" ht="15" hidden="false" customHeight="false" outlineLevel="0" collapsed="false">
      <c r="A109" s="19"/>
      <c r="B109" s="18"/>
      <c r="C109" s="18"/>
      <c r="D109" s="18"/>
      <c r="E109" s="20"/>
    </row>
    <row r="110" customFormat="false" ht="15" hidden="false" customHeight="false" outlineLevel="0" collapsed="false">
      <c r="A110" s="14"/>
      <c r="B110" s="13"/>
      <c r="C110" s="13"/>
      <c r="D110" s="13"/>
      <c r="E110" s="15"/>
    </row>
    <row r="111" customFormat="false" ht="15" hidden="false" customHeight="false" outlineLevel="0" collapsed="false">
      <c r="A111" s="19"/>
      <c r="B111" s="18"/>
      <c r="C111" s="18"/>
      <c r="D111" s="18"/>
      <c r="E111" s="20"/>
    </row>
    <row r="112" customFormat="false" ht="15" hidden="false" customHeight="false" outlineLevel="0" collapsed="false">
      <c r="A112" s="14"/>
      <c r="B112" s="13"/>
      <c r="C112" s="13"/>
      <c r="D112" s="13"/>
      <c r="E112" s="15"/>
    </row>
    <row r="113" customFormat="false" ht="15" hidden="false" customHeight="false" outlineLevel="0" collapsed="false">
      <c r="A113" s="19"/>
      <c r="B113" s="18"/>
      <c r="C113" s="18"/>
      <c r="D113" s="18"/>
      <c r="E113" s="20"/>
    </row>
    <row r="114" customFormat="false" ht="15" hidden="false" customHeight="false" outlineLevel="0" collapsed="false">
      <c r="A114" s="14"/>
      <c r="B114" s="13"/>
      <c r="C114" s="13"/>
      <c r="D114" s="13"/>
      <c r="E114" s="15"/>
    </row>
    <row r="115" customFormat="false" ht="15" hidden="false" customHeight="false" outlineLevel="0" collapsed="false">
      <c r="A115" s="19"/>
      <c r="B115" s="18"/>
      <c r="C115" s="18"/>
      <c r="D115" s="18"/>
      <c r="E115" s="20"/>
    </row>
    <row r="116" customFormat="false" ht="15" hidden="false" customHeight="false" outlineLevel="0" collapsed="false">
      <c r="A116" s="14"/>
      <c r="B116" s="13"/>
      <c r="C116" s="13"/>
      <c r="D116" s="13"/>
      <c r="E116" s="15"/>
    </row>
    <row r="117" customFormat="false" ht="15" hidden="false" customHeight="false" outlineLevel="0" collapsed="false">
      <c r="A117" s="19"/>
      <c r="B117" s="18"/>
      <c r="C117" s="18"/>
      <c r="D117" s="18"/>
      <c r="E117" s="20"/>
    </row>
    <row r="118" customFormat="false" ht="15" hidden="false" customHeight="false" outlineLevel="0" collapsed="false">
      <c r="A118" s="14"/>
      <c r="B118" s="13"/>
      <c r="C118" s="13"/>
      <c r="D118" s="13"/>
      <c r="E118" s="15"/>
    </row>
    <row r="119" customFormat="false" ht="15" hidden="false" customHeight="false" outlineLevel="0" collapsed="false">
      <c r="A119" s="19"/>
      <c r="B119" s="18"/>
      <c r="C119" s="18"/>
      <c r="D119" s="18"/>
      <c r="E119" s="20"/>
    </row>
    <row r="120" customFormat="false" ht="15" hidden="false" customHeight="false" outlineLevel="0" collapsed="false">
      <c r="A120" s="14"/>
      <c r="B120" s="13"/>
      <c r="C120" s="13"/>
      <c r="D120" s="13"/>
      <c r="E120" s="15"/>
    </row>
    <row r="121" customFormat="false" ht="15" hidden="false" customHeight="false" outlineLevel="0" collapsed="false">
      <c r="A121" s="19"/>
      <c r="B121" s="18"/>
      <c r="C121" s="18"/>
      <c r="D121" s="18"/>
      <c r="E121" s="20"/>
    </row>
    <row r="122" customFormat="false" ht="15" hidden="false" customHeight="false" outlineLevel="0" collapsed="false">
      <c r="A122" s="14"/>
      <c r="B122" s="13"/>
      <c r="C122" s="13"/>
      <c r="D122" s="13"/>
      <c r="E122" s="15"/>
    </row>
    <row r="123" customFormat="false" ht="15" hidden="false" customHeight="false" outlineLevel="0" collapsed="false">
      <c r="A123" s="19"/>
      <c r="B123" s="18"/>
      <c r="C123" s="18"/>
      <c r="D123" s="18"/>
      <c r="E123" s="20"/>
    </row>
    <row r="124" customFormat="false" ht="15" hidden="false" customHeight="false" outlineLevel="0" collapsed="false">
      <c r="A124" s="14"/>
      <c r="B124" s="13"/>
      <c r="C124" s="13"/>
      <c r="D124" s="13"/>
      <c r="E124" s="15"/>
    </row>
    <row r="125" customFormat="false" ht="15" hidden="false" customHeight="false" outlineLevel="0" collapsed="false">
      <c r="A125" s="19"/>
      <c r="B125" s="18"/>
      <c r="C125" s="18"/>
      <c r="D125" s="18"/>
      <c r="E125" s="20"/>
    </row>
    <row r="126" customFormat="false" ht="15" hidden="false" customHeight="false" outlineLevel="0" collapsed="false">
      <c r="A126" s="14"/>
      <c r="B126" s="13"/>
      <c r="C126" s="13"/>
      <c r="D126" s="13"/>
      <c r="E126" s="15"/>
    </row>
    <row r="127" customFormat="false" ht="15" hidden="false" customHeight="false" outlineLevel="0" collapsed="false">
      <c r="A127" s="19"/>
      <c r="B127" s="18"/>
      <c r="C127" s="18"/>
      <c r="D127" s="18"/>
      <c r="E127" s="20"/>
    </row>
    <row r="128" customFormat="false" ht="15" hidden="false" customHeight="false" outlineLevel="0" collapsed="false">
      <c r="A128" s="14"/>
      <c r="B128" s="13"/>
      <c r="C128" s="13"/>
      <c r="D128" s="13"/>
      <c r="E128" s="15"/>
    </row>
    <row r="129" customFormat="false" ht="15" hidden="false" customHeight="false" outlineLevel="0" collapsed="false">
      <c r="A129" s="19"/>
      <c r="B129" s="18"/>
      <c r="C129" s="18"/>
      <c r="D129" s="18"/>
      <c r="E129" s="20"/>
    </row>
    <row r="130" customFormat="false" ht="15" hidden="false" customHeight="false" outlineLevel="0" collapsed="false">
      <c r="A130" s="14"/>
      <c r="B130" s="13"/>
      <c r="C130" s="13"/>
      <c r="D130" s="13"/>
      <c r="E130" s="15"/>
    </row>
    <row r="131" customFormat="false" ht="15" hidden="false" customHeight="false" outlineLevel="0" collapsed="false">
      <c r="A131" s="19"/>
      <c r="B131" s="18"/>
      <c r="C131" s="18"/>
      <c r="D131" s="18"/>
      <c r="E131" s="20"/>
    </row>
    <row r="132" customFormat="false" ht="15" hidden="false" customHeight="false" outlineLevel="0" collapsed="false">
      <c r="A132" s="14"/>
      <c r="B132" s="13"/>
      <c r="C132" s="13"/>
      <c r="D132" s="13"/>
      <c r="E132" s="15"/>
    </row>
    <row r="133" customFormat="false" ht="15" hidden="false" customHeight="false" outlineLevel="0" collapsed="false">
      <c r="A133" s="19"/>
      <c r="B133" s="18"/>
      <c r="C133" s="18"/>
      <c r="D133" s="18"/>
      <c r="E133" s="20"/>
    </row>
    <row r="134" customFormat="false" ht="15" hidden="false" customHeight="false" outlineLevel="0" collapsed="false">
      <c r="A134" s="14"/>
      <c r="B134" s="13"/>
      <c r="C134" s="13"/>
      <c r="D134" s="13"/>
      <c r="E134" s="15"/>
    </row>
    <row r="135" customFormat="false" ht="15" hidden="false" customHeight="false" outlineLevel="0" collapsed="false">
      <c r="A135" s="19"/>
      <c r="B135" s="18"/>
      <c r="C135" s="18"/>
      <c r="D135" s="18"/>
      <c r="E135" s="20"/>
    </row>
    <row r="136" customFormat="false" ht="15" hidden="false" customHeight="false" outlineLevel="0" collapsed="false">
      <c r="A136" s="14"/>
      <c r="B136" s="13"/>
      <c r="C136" s="13"/>
      <c r="D136" s="13"/>
      <c r="E136" s="15"/>
    </row>
    <row r="137" customFormat="false" ht="15" hidden="false" customHeight="false" outlineLevel="0" collapsed="false">
      <c r="A137" s="19"/>
      <c r="B137" s="18"/>
      <c r="C137" s="18"/>
      <c r="D137" s="18"/>
      <c r="E137" s="20"/>
    </row>
    <row r="138" customFormat="false" ht="15" hidden="false" customHeight="false" outlineLevel="0" collapsed="false">
      <c r="A138" s="14"/>
      <c r="B138" s="13"/>
      <c r="C138" s="13"/>
      <c r="D138" s="13"/>
      <c r="E138" s="15"/>
    </row>
    <row r="139" customFormat="false" ht="15" hidden="false" customHeight="false" outlineLevel="0" collapsed="false">
      <c r="A139" s="19"/>
      <c r="B139" s="18"/>
      <c r="C139" s="18"/>
      <c r="D139" s="18"/>
      <c r="E139" s="20"/>
    </row>
    <row r="140" customFormat="false" ht="15" hidden="false" customHeight="false" outlineLevel="0" collapsed="false">
      <c r="A140" s="14"/>
      <c r="B140" s="13"/>
      <c r="C140" s="13"/>
      <c r="D140" s="13"/>
      <c r="E140" s="15"/>
    </row>
    <row r="141" customFormat="false" ht="15" hidden="false" customHeight="false" outlineLevel="0" collapsed="false">
      <c r="A141" s="19"/>
      <c r="B141" s="18"/>
      <c r="C141" s="18"/>
      <c r="D141" s="18"/>
      <c r="E141" s="20"/>
    </row>
    <row r="142" customFormat="false" ht="15" hidden="false" customHeight="false" outlineLevel="0" collapsed="false">
      <c r="A142" s="14"/>
      <c r="B142" s="13"/>
      <c r="C142" s="13"/>
      <c r="D142" s="13"/>
      <c r="E142" s="15"/>
    </row>
    <row r="143" customFormat="false" ht="15" hidden="false" customHeight="false" outlineLevel="0" collapsed="false">
      <c r="A143" s="19"/>
      <c r="B143" s="18"/>
      <c r="C143" s="18"/>
      <c r="D143" s="18"/>
      <c r="E143" s="20"/>
    </row>
    <row r="144" customFormat="false" ht="15" hidden="false" customHeight="false" outlineLevel="0" collapsed="false">
      <c r="A144" s="14"/>
      <c r="B144" s="13"/>
      <c r="C144" s="13"/>
      <c r="D144" s="13"/>
      <c r="E144" s="15"/>
    </row>
    <row r="145" customFormat="false" ht="15" hidden="false" customHeight="false" outlineLevel="0" collapsed="false">
      <c r="A145" s="19"/>
      <c r="B145" s="18"/>
      <c r="C145" s="18"/>
      <c r="D145" s="18"/>
      <c r="E145" s="20"/>
    </row>
    <row r="146" customFormat="false" ht="15" hidden="false" customHeight="false" outlineLevel="0" collapsed="false">
      <c r="A146" s="14"/>
      <c r="B146" s="13"/>
      <c r="C146" s="13"/>
      <c r="D146" s="13"/>
      <c r="E146" s="15"/>
    </row>
    <row r="147" customFormat="false" ht="15" hidden="false" customHeight="false" outlineLevel="0" collapsed="false">
      <c r="A147" s="19"/>
      <c r="B147" s="18"/>
      <c r="C147" s="18"/>
      <c r="D147" s="18"/>
      <c r="E147" s="20"/>
    </row>
    <row r="148" customFormat="false" ht="15" hidden="false" customHeight="false" outlineLevel="0" collapsed="false">
      <c r="A148" s="14"/>
      <c r="B148" s="13"/>
      <c r="C148" s="13"/>
      <c r="D148" s="13"/>
      <c r="E148" s="15"/>
    </row>
    <row r="149" customFormat="false" ht="15" hidden="false" customHeight="false" outlineLevel="0" collapsed="false">
      <c r="A149" s="19"/>
      <c r="B149" s="18"/>
      <c r="C149" s="18"/>
      <c r="D149" s="18"/>
      <c r="E149" s="20"/>
    </row>
    <row r="150" customFormat="false" ht="15" hidden="false" customHeight="false" outlineLevel="0" collapsed="false">
      <c r="A150" s="14"/>
      <c r="B150" s="13"/>
      <c r="C150" s="13"/>
      <c r="D150" s="13"/>
      <c r="E150" s="15"/>
    </row>
    <row r="151" customFormat="false" ht="15" hidden="false" customHeight="false" outlineLevel="0" collapsed="false">
      <c r="A151" s="19"/>
      <c r="B151" s="18"/>
      <c r="C151" s="18"/>
      <c r="D151" s="18"/>
      <c r="E151" s="20"/>
    </row>
    <row r="152" customFormat="false" ht="15" hidden="false" customHeight="false" outlineLevel="0" collapsed="false">
      <c r="A152" s="14"/>
      <c r="B152" s="13"/>
      <c r="C152" s="13"/>
      <c r="D152" s="13"/>
      <c r="E152" s="15"/>
    </row>
    <row r="153" customFormat="false" ht="15" hidden="false" customHeight="false" outlineLevel="0" collapsed="false">
      <c r="A153" s="19"/>
      <c r="B153" s="18"/>
      <c r="C153" s="18"/>
      <c r="D153" s="18"/>
      <c r="E153" s="20"/>
    </row>
    <row r="154" customFormat="false" ht="15" hidden="false" customHeight="false" outlineLevel="0" collapsed="false">
      <c r="A154" s="14"/>
      <c r="B154" s="13"/>
      <c r="C154" s="13"/>
      <c r="D154" s="13"/>
      <c r="E154" s="15"/>
    </row>
    <row r="155" customFormat="false" ht="15" hidden="false" customHeight="false" outlineLevel="0" collapsed="false">
      <c r="A155" s="19"/>
      <c r="B155" s="18"/>
      <c r="C155" s="18"/>
      <c r="D155" s="18"/>
      <c r="E155" s="20"/>
    </row>
    <row r="156" customFormat="false" ht="15" hidden="false" customHeight="false" outlineLevel="0" collapsed="false">
      <c r="A156" s="14"/>
      <c r="B156" s="13"/>
      <c r="C156" s="13"/>
      <c r="D156" s="13"/>
      <c r="E156" s="15"/>
    </row>
    <row r="157" customFormat="false" ht="15" hidden="false" customHeight="false" outlineLevel="0" collapsed="false">
      <c r="A157" s="19"/>
      <c r="B157" s="18"/>
      <c r="C157" s="18"/>
      <c r="D157" s="18"/>
      <c r="E157" s="20"/>
    </row>
    <row r="158" customFormat="false" ht="15" hidden="false" customHeight="false" outlineLevel="0" collapsed="false">
      <c r="A158" s="14"/>
      <c r="B158" s="13"/>
      <c r="C158" s="13"/>
      <c r="D158" s="13"/>
      <c r="E158" s="15"/>
    </row>
    <row r="159" customFormat="false" ht="15" hidden="false" customHeight="false" outlineLevel="0" collapsed="false">
      <c r="A159" s="19"/>
      <c r="B159" s="18"/>
      <c r="C159" s="18"/>
      <c r="D159" s="18"/>
      <c r="E159" s="20"/>
    </row>
    <row r="160" customFormat="false" ht="15" hidden="false" customHeight="false" outlineLevel="0" collapsed="false">
      <c r="A160" s="14"/>
      <c r="B160" s="13"/>
      <c r="C160" s="13"/>
      <c r="D160" s="13"/>
      <c r="E160" s="15"/>
    </row>
    <row r="161" customFormat="false" ht="15" hidden="false" customHeight="false" outlineLevel="0" collapsed="false">
      <c r="A161" s="19"/>
      <c r="B161" s="18"/>
      <c r="C161" s="18"/>
      <c r="D161" s="18"/>
      <c r="E161" s="20"/>
    </row>
    <row r="162" customFormat="false" ht="15" hidden="false" customHeight="false" outlineLevel="0" collapsed="false">
      <c r="A162" s="14"/>
      <c r="B162" s="13"/>
      <c r="C162" s="13"/>
      <c r="D162" s="13"/>
      <c r="E162" s="15"/>
    </row>
    <row r="163" customFormat="false" ht="15" hidden="false" customHeight="false" outlineLevel="0" collapsed="false">
      <c r="A163" s="19"/>
      <c r="B163" s="18"/>
      <c r="C163" s="18"/>
      <c r="D163" s="18"/>
      <c r="E163" s="20"/>
    </row>
    <row r="164" customFormat="false" ht="15" hidden="false" customHeight="false" outlineLevel="0" collapsed="false">
      <c r="A164" s="14"/>
      <c r="B164" s="13"/>
      <c r="C164" s="13"/>
      <c r="D164" s="13"/>
      <c r="E164" s="15"/>
    </row>
    <row r="165" customFormat="false" ht="15" hidden="false" customHeight="false" outlineLevel="0" collapsed="false">
      <c r="A165" s="19"/>
      <c r="B165" s="18"/>
      <c r="C165" s="18"/>
      <c r="D165" s="18"/>
      <c r="E165" s="20"/>
    </row>
    <row r="166" customFormat="false" ht="15" hidden="false" customHeight="false" outlineLevel="0" collapsed="false">
      <c r="A166" s="14"/>
      <c r="B166" s="13"/>
      <c r="C166" s="13"/>
      <c r="D166" s="13"/>
      <c r="E166" s="15"/>
    </row>
    <row r="167" customFormat="false" ht="15" hidden="false" customHeight="false" outlineLevel="0" collapsed="false">
      <c r="A167" s="19"/>
      <c r="B167" s="18"/>
      <c r="C167" s="18"/>
      <c r="D167" s="18"/>
      <c r="E167" s="20"/>
    </row>
    <row r="168" customFormat="false" ht="15" hidden="false" customHeight="false" outlineLevel="0" collapsed="false">
      <c r="A168" s="14"/>
      <c r="B168" s="13"/>
      <c r="C168" s="13"/>
      <c r="D168" s="13"/>
      <c r="E168" s="15"/>
    </row>
    <row r="169" customFormat="false" ht="15" hidden="false" customHeight="false" outlineLevel="0" collapsed="false">
      <c r="A169" s="19"/>
      <c r="B169" s="18"/>
      <c r="C169" s="18"/>
      <c r="D169" s="18"/>
      <c r="E169" s="20"/>
    </row>
    <row r="170" customFormat="false" ht="15" hidden="false" customHeight="false" outlineLevel="0" collapsed="false">
      <c r="A170" s="14"/>
      <c r="B170" s="13"/>
      <c r="C170" s="13"/>
      <c r="D170" s="13"/>
      <c r="E170" s="15"/>
    </row>
    <row r="171" customFormat="false" ht="15" hidden="false" customHeight="false" outlineLevel="0" collapsed="false">
      <c r="A171" s="19"/>
      <c r="B171" s="18"/>
      <c r="C171" s="18"/>
      <c r="D171" s="18"/>
      <c r="E171" s="20"/>
    </row>
    <row r="172" customFormat="false" ht="15" hidden="false" customHeight="false" outlineLevel="0" collapsed="false">
      <c r="A172" s="14"/>
      <c r="B172" s="13"/>
      <c r="C172" s="13"/>
      <c r="D172" s="13"/>
      <c r="E172" s="15"/>
    </row>
    <row r="173" customFormat="false" ht="15" hidden="false" customHeight="false" outlineLevel="0" collapsed="false">
      <c r="A173" s="19"/>
      <c r="B173" s="18"/>
      <c r="C173" s="18"/>
      <c r="D173" s="18"/>
      <c r="E173" s="20"/>
    </row>
    <row r="174" customFormat="false" ht="15" hidden="false" customHeight="false" outlineLevel="0" collapsed="false">
      <c r="A174" s="14"/>
      <c r="B174" s="13"/>
      <c r="C174" s="13"/>
      <c r="D174" s="13"/>
      <c r="E174" s="15"/>
    </row>
    <row r="175" customFormat="false" ht="15" hidden="false" customHeight="false" outlineLevel="0" collapsed="false">
      <c r="A175" s="19"/>
      <c r="B175" s="18"/>
      <c r="C175" s="18"/>
      <c r="D175" s="18"/>
      <c r="E175" s="20"/>
    </row>
    <row r="176" customFormat="false" ht="15" hidden="false" customHeight="false" outlineLevel="0" collapsed="false">
      <c r="A176" s="14"/>
      <c r="B176" s="13"/>
      <c r="C176" s="13"/>
      <c r="D176" s="13"/>
      <c r="E176" s="15"/>
    </row>
    <row r="177" customFormat="false" ht="15" hidden="false" customHeight="false" outlineLevel="0" collapsed="false">
      <c r="A177" s="19"/>
      <c r="B177" s="18"/>
      <c r="C177" s="18"/>
      <c r="D177" s="18"/>
      <c r="E177" s="20"/>
    </row>
    <row r="178" customFormat="false" ht="15" hidden="false" customHeight="false" outlineLevel="0" collapsed="false">
      <c r="A178" s="14"/>
      <c r="B178" s="13"/>
      <c r="C178" s="13"/>
      <c r="D178" s="13"/>
      <c r="E178" s="15"/>
    </row>
    <row r="179" customFormat="false" ht="15" hidden="false" customHeight="false" outlineLevel="0" collapsed="false">
      <c r="A179" s="19"/>
      <c r="B179" s="18"/>
      <c r="C179" s="18"/>
      <c r="D179" s="18"/>
      <c r="E179" s="20"/>
    </row>
    <row r="180" customFormat="false" ht="15" hidden="false" customHeight="false" outlineLevel="0" collapsed="false">
      <c r="A180" s="14"/>
      <c r="B180" s="13"/>
      <c r="C180" s="13"/>
      <c r="D180" s="13"/>
      <c r="E180" s="15"/>
    </row>
    <row r="181" customFormat="false" ht="15" hidden="false" customHeight="false" outlineLevel="0" collapsed="false">
      <c r="A181" s="19"/>
      <c r="B181" s="18"/>
      <c r="C181" s="18"/>
      <c r="D181" s="18"/>
      <c r="E181" s="20"/>
    </row>
    <row r="182" customFormat="false" ht="15" hidden="false" customHeight="false" outlineLevel="0" collapsed="false">
      <c r="A182" s="14"/>
      <c r="B182" s="13"/>
      <c r="C182" s="13"/>
      <c r="D182" s="13"/>
      <c r="E182" s="15"/>
    </row>
    <row r="183" customFormat="false" ht="15" hidden="false" customHeight="false" outlineLevel="0" collapsed="false">
      <c r="A183" s="19"/>
      <c r="B183" s="18"/>
      <c r="C183" s="18"/>
      <c r="D183" s="18"/>
      <c r="E183" s="20"/>
    </row>
    <row r="184" customFormat="false" ht="15" hidden="false" customHeight="false" outlineLevel="0" collapsed="false">
      <c r="A184" s="14"/>
      <c r="B184" s="13"/>
      <c r="C184" s="13"/>
      <c r="D184" s="13"/>
      <c r="E184" s="15"/>
    </row>
    <row r="185" customFormat="false" ht="15" hidden="false" customHeight="false" outlineLevel="0" collapsed="false">
      <c r="A185" s="19"/>
      <c r="B185" s="18"/>
      <c r="C185" s="18"/>
      <c r="D185" s="18"/>
      <c r="E185" s="20"/>
    </row>
    <row r="186" customFormat="false" ht="15" hidden="false" customHeight="false" outlineLevel="0" collapsed="false">
      <c r="A186" s="14"/>
      <c r="B186" s="13"/>
      <c r="C186" s="13"/>
      <c r="D186" s="13"/>
      <c r="E186" s="15"/>
    </row>
    <row r="187" customFormat="false" ht="15" hidden="false" customHeight="false" outlineLevel="0" collapsed="false">
      <c r="A187" s="19"/>
      <c r="B187" s="18"/>
      <c r="C187" s="18"/>
      <c r="D187" s="18"/>
      <c r="E187" s="20"/>
    </row>
    <row r="188" customFormat="false" ht="15" hidden="false" customHeight="false" outlineLevel="0" collapsed="false">
      <c r="A188" s="14"/>
      <c r="B188" s="13"/>
      <c r="C188" s="13"/>
      <c r="D188" s="13"/>
      <c r="E188" s="15"/>
    </row>
    <row r="189" customFormat="false" ht="15" hidden="false" customHeight="false" outlineLevel="0" collapsed="false">
      <c r="A189" s="19"/>
      <c r="B189" s="18"/>
      <c r="C189" s="18"/>
      <c r="D189" s="18"/>
      <c r="E189" s="20"/>
    </row>
    <row r="190" customFormat="false" ht="15" hidden="false" customHeight="false" outlineLevel="0" collapsed="false">
      <c r="A190" s="14"/>
      <c r="B190" s="13"/>
      <c r="C190" s="13"/>
      <c r="D190" s="13"/>
      <c r="E190" s="15"/>
    </row>
    <row r="191" customFormat="false" ht="15" hidden="false" customHeight="false" outlineLevel="0" collapsed="false">
      <c r="A191" s="19"/>
      <c r="B191" s="18"/>
      <c r="C191" s="18"/>
      <c r="D191" s="18"/>
      <c r="E191" s="20"/>
    </row>
    <row r="192" customFormat="false" ht="15" hidden="false" customHeight="false" outlineLevel="0" collapsed="false">
      <c r="A192" s="14"/>
      <c r="B192" s="13"/>
      <c r="C192" s="13"/>
      <c r="D192" s="13"/>
      <c r="E192" s="15"/>
    </row>
    <row r="193" customFormat="false" ht="15" hidden="false" customHeight="false" outlineLevel="0" collapsed="false">
      <c r="A193" s="19"/>
      <c r="B193" s="18"/>
      <c r="C193" s="18"/>
      <c r="D193" s="18"/>
      <c r="E193" s="20"/>
    </row>
    <row r="194" customFormat="false" ht="15" hidden="false" customHeight="false" outlineLevel="0" collapsed="false">
      <c r="A194" s="14"/>
      <c r="B194" s="13"/>
      <c r="C194" s="13"/>
      <c r="D194" s="13"/>
      <c r="E194" s="15"/>
    </row>
    <row r="195" customFormat="false" ht="15" hidden="false" customHeight="false" outlineLevel="0" collapsed="false">
      <c r="A195" s="19"/>
      <c r="B195" s="18"/>
      <c r="C195" s="18"/>
      <c r="D195" s="18"/>
      <c r="E195" s="20"/>
    </row>
    <row r="196" customFormat="false" ht="15" hidden="false" customHeight="false" outlineLevel="0" collapsed="false">
      <c r="A196" s="14"/>
      <c r="B196" s="13"/>
      <c r="C196" s="13"/>
      <c r="D196" s="13"/>
      <c r="E196" s="15"/>
    </row>
    <row r="197" customFormat="false" ht="15" hidden="false" customHeight="false" outlineLevel="0" collapsed="false">
      <c r="A197" s="19"/>
      <c r="B197" s="18"/>
      <c r="C197" s="18"/>
      <c r="D197" s="18"/>
      <c r="E197" s="20"/>
    </row>
    <row r="198" customFormat="false" ht="15" hidden="false" customHeight="false" outlineLevel="0" collapsed="false">
      <c r="A198" s="14"/>
      <c r="B198" s="13"/>
      <c r="C198" s="13"/>
      <c r="D198" s="13"/>
      <c r="E198" s="15"/>
    </row>
    <row r="199" customFormat="false" ht="15" hidden="false" customHeight="false" outlineLevel="0" collapsed="false">
      <c r="A199" s="19"/>
      <c r="B199" s="18"/>
      <c r="C199" s="18"/>
      <c r="D199" s="18"/>
      <c r="E199" s="20"/>
    </row>
    <row r="200" customFormat="false" ht="15" hidden="false" customHeight="false" outlineLevel="0" collapsed="false">
      <c r="A200" s="14"/>
      <c r="B200" s="13"/>
      <c r="C200" s="13"/>
      <c r="D200" s="13"/>
      <c r="E200" s="15"/>
    </row>
    <row r="201" customFormat="false" ht="15" hidden="false" customHeight="false" outlineLevel="0" collapsed="false">
      <c r="A201" s="19"/>
      <c r="B201" s="18"/>
      <c r="C201" s="18"/>
      <c r="D201" s="18"/>
      <c r="E201" s="20"/>
    </row>
    <row r="202" customFormat="false" ht="15" hidden="false" customHeight="false" outlineLevel="0" collapsed="false">
      <c r="A202" s="14"/>
      <c r="B202" s="13"/>
      <c r="C202" s="13"/>
      <c r="D202" s="13"/>
      <c r="E202" s="15"/>
    </row>
    <row r="203" customFormat="false" ht="15" hidden="false" customHeight="false" outlineLevel="0" collapsed="false">
      <c r="A203" s="19"/>
      <c r="B203" s="18"/>
      <c r="C203" s="18"/>
      <c r="D203" s="18"/>
      <c r="E203" s="20"/>
    </row>
    <row r="204" customFormat="false" ht="15" hidden="false" customHeight="false" outlineLevel="0" collapsed="false">
      <c r="A204" s="14"/>
      <c r="B204" s="13"/>
      <c r="C204" s="13"/>
      <c r="D204" s="13"/>
      <c r="E204" s="15"/>
    </row>
    <row r="205" customFormat="false" ht="15" hidden="false" customHeight="false" outlineLevel="0" collapsed="false">
      <c r="A205" s="19"/>
      <c r="B205" s="18"/>
      <c r="C205" s="18"/>
      <c r="D205" s="18"/>
      <c r="E205" s="20"/>
    </row>
    <row r="206" customFormat="false" ht="15" hidden="false" customHeight="false" outlineLevel="0" collapsed="false">
      <c r="A206" s="14"/>
      <c r="B206" s="13"/>
      <c r="C206" s="13"/>
      <c r="D206" s="13"/>
      <c r="E206" s="15"/>
    </row>
    <row r="207" customFormat="false" ht="15" hidden="false" customHeight="false" outlineLevel="0" collapsed="false">
      <c r="A207" s="19"/>
      <c r="B207" s="18"/>
      <c r="C207" s="18"/>
      <c r="D207" s="18"/>
      <c r="E207" s="20"/>
    </row>
    <row r="208" customFormat="false" ht="15" hidden="false" customHeight="false" outlineLevel="0" collapsed="false">
      <c r="A208" s="14"/>
      <c r="B208" s="13"/>
      <c r="C208" s="13"/>
      <c r="D208" s="13"/>
      <c r="E208" s="15"/>
    </row>
    <row r="209" customFormat="false" ht="15" hidden="false" customHeight="false" outlineLevel="0" collapsed="false">
      <c r="A209" s="19"/>
      <c r="B209" s="18"/>
      <c r="C209" s="18"/>
      <c r="D209" s="18"/>
      <c r="E209" s="20"/>
    </row>
    <row r="210" customFormat="false" ht="15" hidden="false" customHeight="false" outlineLevel="0" collapsed="false">
      <c r="A210" s="14"/>
      <c r="B210" s="13"/>
      <c r="C210" s="13"/>
      <c r="D210" s="13"/>
      <c r="E210" s="15"/>
    </row>
    <row r="211" customFormat="false" ht="15" hidden="false" customHeight="false" outlineLevel="0" collapsed="false">
      <c r="A211" s="19"/>
      <c r="B211" s="18"/>
      <c r="C211" s="18"/>
      <c r="D211" s="18"/>
      <c r="E211" s="20"/>
    </row>
    <row r="212" customFormat="false" ht="15" hidden="false" customHeight="false" outlineLevel="0" collapsed="false">
      <c r="A212" s="14"/>
      <c r="B212" s="13"/>
      <c r="C212" s="13"/>
      <c r="D212" s="13"/>
      <c r="E212" s="15"/>
    </row>
    <row r="213" customFormat="false" ht="15" hidden="false" customHeight="false" outlineLevel="0" collapsed="false">
      <c r="A213" s="19"/>
      <c r="B213" s="18"/>
      <c r="C213" s="18"/>
      <c r="D213" s="18"/>
      <c r="E213" s="20"/>
    </row>
    <row r="214" customFormat="false" ht="15" hidden="false" customHeight="false" outlineLevel="0" collapsed="false">
      <c r="A214" s="14"/>
      <c r="B214" s="13"/>
      <c r="C214" s="13"/>
      <c r="D214" s="13"/>
      <c r="E214" s="15"/>
    </row>
    <row r="215" customFormat="false" ht="15" hidden="false" customHeight="false" outlineLevel="0" collapsed="false">
      <c r="A215" s="19"/>
      <c r="B215" s="18"/>
      <c r="C215" s="18"/>
      <c r="D215" s="18"/>
      <c r="E215" s="20"/>
    </row>
    <row r="216" customFormat="false" ht="15" hidden="false" customHeight="false" outlineLevel="0" collapsed="false">
      <c r="A216" s="14"/>
      <c r="B216" s="13"/>
      <c r="C216" s="13"/>
      <c r="D216" s="13"/>
      <c r="E216" s="15"/>
    </row>
    <row r="217" customFormat="false" ht="15" hidden="false" customHeight="false" outlineLevel="0" collapsed="false">
      <c r="A217" s="19"/>
      <c r="B217" s="18"/>
      <c r="C217" s="18"/>
      <c r="D217" s="18"/>
      <c r="E217" s="20"/>
    </row>
    <row r="218" customFormat="false" ht="15" hidden="false" customHeight="false" outlineLevel="0" collapsed="false">
      <c r="A218" s="14"/>
      <c r="B218" s="13"/>
      <c r="C218" s="13"/>
      <c r="D218" s="13"/>
      <c r="E218" s="15"/>
    </row>
    <row r="219" customFormat="false" ht="15" hidden="false" customHeight="false" outlineLevel="0" collapsed="false">
      <c r="A219" s="19"/>
      <c r="B219" s="18"/>
      <c r="C219" s="18"/>
      <c r="D219" s="18"/>
      <c r="E219" s="20"/>
    </row>
    <row r="220" customFormat="false" ht="15" hidden="false" customHeight="false" outlineLevel="0" collapsed="false">
      <c r="A220" s="14"/>
      <c r="B220" s="13"/>
      <c r="C220" s="13"/>
      <c r="D220" s="13"/>
      <c r="E220" s="15"/>
    </row>
    <row r="221" customFormat="false" ht="15" hidden="false" customHeight="false" outlineLevel="0" collapsed="false">
      <c r="A221" s="19"/>
      <c r="B221" s="18"/>
      <c r="C221" s="18"/>
      <c r="D221" s="18"/>
      <c r="E221" s="20"/>
    </row>
    <row r="222" customFormat="false" ht="15" hidden="false" customHeight="false" outlineLevel="0" collapsed="false">
      <c r="A222" s="14"/>
      <c r="B222" s="13"/>
      <c r="C222" s="13"/>
      <c r="D222" s="13"/>
      <c r="E222" s="15"/>
    </row>
    <row r="223" customFormat="false" ht="15" hidden="false" customHeight="false" outlineLevel="0" collapsed="false">
      <c r="A223" s="19"/>
      <c r="B223" s="18"/>
      <c r="C223" s="18"/>
      <c r="D223" s="18"/>
      <c r="E223" s="20"/>
    </row>
    <row r="224" customFormat="false" ht="15" hidden="false" customHeight="false" outlineLevel="0" collapsed="false">
      <c r="A224" s="14"/>
      <c r="B224" s="13"/>
      <c r="C224" s="13"/>
      <c r="D224" s="13"/>
      <c r="E224" s="15"/>
    </row>
    <row r="225" customFormat="false" ht="15" hidden="false" customHeight="false" outlineLevel="0" collapsed="false">
      <c r="A225" s="19"/>
      <c r="B225" s="18"/>
      <c r="C225" s="18"/>
      <c r="D225" s="18"/>
      <c r="E225" s="20"/>
    </row>
    <row r="226" customFormat="false" ht="15" hidden="false" customHeight="false" outlineLevel="0" collapsed="false">
      <c r="A226" s="14"/>
      <c r="B226" s="13"/>
      <c r="C226" s="13"/>
      <c r="D226" s="13"/>
      <c r="E226" s="15"/>
    </row>
    <row r="227" customFormat="false" ht="15" hidden="false" customHeight="false" outlineLevel="0" collapsed="false">
      <c r="A227" s="19"/>
      <c r="B227" s="18"/>
      <c r="C227" s="18"/>
      <c r="D227" s="18"/>
      <c r="E227" s="20"/>
    </row>
    <row r="228" customFormat="false" ht="15" hidden="false" customHeight="false" outlineLevel="0" collapsed="false">
      <c r="A228" s="14"/>
      <c r="B228" s="13"/>
      <c r="C228" s="13"/>
      <c r="D228" s="13"/>
      <c r="E228" s="15"/>
    </row>
    <row r="229" customFormat="false" ht="15" hidden="false" customHeight="false" outlineLevel="0" collapsed="false">
      <c r="A229" s="19"/>
      <c r="B229" s="18"/>
      <c r="C229" s="18"/>
      <c r="D229" s="18"/>
      <c r="E229" s="20"/>
    </row>
    <row r="230" customFormat="false" ht="15" hidden="false" customHeight="false" outlineLevel="0" collapsed="false">
      <c r="A230" s="14"/>
      <c r="B230" s="13"/>
      <c r="C230" s="13"/>
      <c r="D230" s="13"/>
      <c r="E230" s="15"/>
    </row>
    <row r="231" customFormat="false" ht="15" hidden="false" customHeight="false" outlineLevel="0" collapsed="false">
      <c r="A231" s="19"/>
      <c r="B231" s="18"/>
      <c r="C231" s="18"/>
      <c r="D231" s="18"/>
      <c r="E231" s="20"/>
    </row>
    <row r="232" customFormat="false" ht="15" hidden="false" customHeight="false" outlineLevel="0" collapsed="false">
      <c r="A232" s="14"/>
      <c r="B232" s="13"/>
      <c r="C232" s="13"/>
      <c r="D232" s="13"/>
      <c r="E232" s="15"/>
    </row>
    <row r="233" customFormat="false" ht="15" hidden="false" customHeight="false" outlineLevel="0" collapsed="false">
      <c r="A233" s="19"/>
      <c r="B233" s="18"/>
      <c r="C233" s="18"/>
      <c r="D233" s="18"/>
      <c r="E233" s="20"/>
    </row>
    <row r="234" customFormat="false" ht="15" hidden="false" customHeight="false" outlineLevel="0" collapsed="false">
      <c r="A234" s="14"/>
      <c r="B234" s="13"/>
      <c r="C234" s="13"/>
      <c r="D234" s="13"/>
      <c r="E234" s="15"/>
    </row>
    <row r="235" customFormat="false" ht="15" hidden="false" customHeight="false" outlineLevel="0" collapsed="false">
      <c r="A235" s="19"/>
      <c r="B235" s="18"/>
      <c r="C235" s="18"/>
      <c r="D235" s="18"/>
      <c r="E235" s="20"/>
    </row>
    <row r="236" customFormat="false" ht="15" hidden="false" customHeight="false" outlineLevel="0" collapsed="false">
      <c r="A236" s="14"/>
      <c r="B236" s="13"/>
      <c r="C236" s="13"/>
      <c r="D236" s="13"/>
      <c r="E236" s="15"/>
    </row>
    <row r="237" customFormat="false" ht="15" hidden="false" customHeight="false" outlineLevel="0" collapsed="false">
      <c r="A237" s="19"/>
      <c r="B237" s="18"/>
      <c r="C237" s="18"/>
      <c r="D237" s="18"/>
      <c r="E237" s="20"/>
    </row>
    <row r="238" customFormat="false" ht="15" hidden="false" customHeight="false" outlineLevel="0" collapsed="false">
      <c r="A238" s="14"/>
      <c r="B238" s="13"/>
      <c r="C238" s="13"/>
      <c r="D238" s="13"/>
      <c r="E238" s="15"/>
    </row>
    <row r="239" customFormat="false" ht="15" hidden="false" customHeight="false" outlineLevel="0" collapsed="false">
      <c r="A239" s="19"/>
      <c r="B239" s="18"/>
      <c r="C239" s="18"/>
      <c r="D239" s="18"/>
      <c r="E239" s="20"/>
    </row>
    <row r="240" customFormat="false" ht="15" hidden="false" customHeight="false" outlineLevel="0" collapsed="false">
      <c r="A240" s="14"/>
      <c r="B240" s="13"/>
      <c r="C240" s="13"/>
      <c r="D240" s="13"/>
      <c r="E240" s="15"/>
    </row>
    <row r="241" customFormat="false" ht="15" hidden="false" customHeight="false" outlineLevel="0" collapsed="false">
      <c r="A241" s="19"/>
      <c r="B241" s="18"/>
      <c r="C241" s="18"/>
      <c r="D241" s="18"/>
      <c r="E241" s="20"/>
    </row>
    <row r="242" customFormat="false" ht="15" hidden="false" customHeight="false" outlineLevel="0" collapsed="false">
      <c r="A242" s="14"/>
      <c r="B242" s="13"/>
      <c r="C242" s="13"/>
      <c r="D242" s="13"/>
      <c r="E242" s="15"/>
    </row>
    <row r="243" customFormat="false" ht="15" hidden="false" customHeight="false" outlineLevel="0" collapsed="false">
      <c r="A243" s="19"/>
      <c r="B243" s="18"/>
      <c r="C243" s="18"/>
      <c r="D243" s="18"/>
      <c r="E243" s="20"/>
    </row>
    <row r="244" customFormat="false" ht="15" hidden="false" customHeight="false" outlineLevel="0" collapsed="false">
      <c r="A244" s="14"/>
      <c r="B244" s="13"/>
      <c r="C244" s="13"/>
      <c r="D244" s="13"/>
      <c r="E244" s="15"/>
    </row>
    <row r="245" customFormat="false" ht="15" hidden="false" customHeight="false" outlineLevel="0" collapsed="false">
      <c r="A245" s="19"/>
      <c r="B245" s="18"/>
      <c r="C245" s="18"/>
      <c r="D245" s="18"/>
      <c r="E245" s="20"/>
    </row>
    <row r="246" customFormat="false" ht="15" hidden="false" customHeight="false" outlineLevel="0" collapsed="false">
      <c r="A246" s="14"/>
      <c r="B246" s="13"/>
      <c r="C246" s="13"/>
      <c r="D246" s="13"/>
      <c r="E246" s="15"/>
    </row>
    <row r="247" customFormat="false" ht="15" hidden="false" customHeight="false" outlineLevel="0" collapsed="false">
      <c r="A247" s="19"/>
      <c r="B247" s="18"/>
      <c r="C247" s="18"/>
      <c r="D247" s="18"/>
      <c r="E247" s="20"/>
    </row>
    <row r="248" customFormat="false" ht="15" hidden="false" customHeight="false" outlineLevel="0" collapsed="false">
      <c r="A248" s="14"/>
      <c r="B248" s="13"/>
      <c r="C248" s="13"/>
      <c r="D248" s="13"/>
      <c r="E248" s="15"/>
    </row>
    <row r="249" customFormat="false" ht="15" hidden="false" customHeight="false" outlineLevel="0" collapsed="false">
      <c r="A249" s="19"/>
      <c r="B249" s="18"/>
      <c r="C249" s="18"/>
      <c r="D249" s="18"/>
      <c r="E249" s="20"/>
    </row>
    <row r="250" customFormat="false" ht="15" hidden="false" customHeight="false" outlineLevel="0" collapsed="false">
      <c r="A250" s="14"/>
      <c r="B250" s="13"/>
      <c r="C250" s="13"/>
      <c r="D250" s="13"/>
      <c r="E250" s="15"/>
    </row>
    <row r="251" customFormat="false" ht="15" hidden="false" customHeight="false" outlineLevel="0" collapsed="false">
      <c r="A251" s="19"/>
      <c r="B251" s="18"/>
      <c r="C251" s="18"/>
      <c r="D251" s="18"/>
      <c r="E251" s="20"/>
    </row>
    <row r="252" customFormat="false" ht="15" hidden="false" customHeight="false" outlineLevel="0" collapsed="false">
      <c r="A252" s="14"/>
      <c r="B252" s="13"/>
      <c r="C252" s="13"/>
      <c r="D252" s="13"/>
      <c r="E252" s="15"/>
    </row>
    <row r="253" customFormat="false" ht="15" hidden="false" customHeight="false" outlineLevel="0" collapsed="false">
      <c r="A253" s="19"/>
      <c r="B253" s="18"/>
      <c r="C253" s="18"/>
      <c r="D253" s="18"/>
      <c r="E253" s="20"/>
    </row>
    <row r="254" customFormat="false" ht="15" hidden="false" customHeight="false" outlineLevel="0" collapsed="false">
      <c r="A254" s="14"/>
      <c r="B254" s="13"/>
      <c r="C254" s="13"/>
      <c r="D254" s="13"/>
      <c r="E254" s="15"/>
    </row>
    <row r="255" customFormat="false" ht="15" hidden="false" customHeight="false" outlineLevel="0" collapsed="false">
      <c r="A255" s="19"/>
      <c r="B255" s="18"/>
      <c r="C255" s="18"/>
      <c r="D255" s="18"/>
      <c r="E255" s="20"/>
    </row>
    <row r="256" customFormat="false" ht="15" hidden="false" customHeight="false" outlineLevel="0" collapsed="false">
      <c r="A256" s="14"/>
      <c r="B256" s="13"/>
      <c r="C256" s="13"/>
      <c r="D256" s="13"/>
      <c r="E256" s="15"/>
    </row>
    <row r="257" customFormat="false" ht="15" hidden="false" customHeight="false" outlineLevel="0" collapsed="false">
      <c r="A257" s="19"/>
      <c r="B257" s="18"/>
      <c r="C257" s="18"/>
      <c r="D257" s="18"/>
      <c r="E257" s="20"/>
    </row>
    <row r="258" customFormat="false" ht="15" hidden="false" customHeight="false" outlineLevel="0" collapsed="false">
      <c r="A258" s="14"/>
      <c r="B258" s="13"/>
      <c r="C258" s="13"/>
      <c r="D258" s="13"/>
      <c r="E258" s="15"/>
    </row>
    <row r="259" customFormat="false" ht="15" hidden="false" customHeight="false" outlineLevel="0" collapsed="false">
      <c r="A259" s="19"/>
      <c r="B259" s="18"/>
      <c r="C259" s="18"/>
      <c r="D259" s="18"/>
      <c r="E259" s="20"/>
    </row>
    <row r="260" customFormat="false" ht="15" hidden="false" customHeight="false" outlineLevel="0" collapsed="false">
      <c r="A260" s="14"/>
      <c r="B260" s="13"/>
      <c r="C260" s="13"/>
      <c r="D260" s="13"/>
      <c r="E260" s="15"/>
    </row>
    <row r="261" customFormat="false" ht="15" hidden="false" customHeight="false" outlineLevel="0" collapsed="false">
      <c r="A261" s="19"/>
      <c r="B261" s="18"/>
      <c r="C261" s="18"/>
      <c r="D261" s="18"/>
      <c r="E261" s="20"/>
    </row>
    <row r="262" customFormat="false" ht="15" hidden="false" customHeight="false" outlineLevel="0" collapsed="false">
      <c r="A262" s="14"/>
      <c r="B262" s="13"/>
      <c r="C262" s="13"/>
      <c r="D262" s="13"/>
      <c r="E262" s="15"/>
    </row>
    <row r="263" customFormat="false" ht="15" hidden="false" customHeight="false" outlineLevel="0" collapsed="false">
      <c r="A263" s="19"/>
      <c r="B263" s="18"/>
      <c r="C263" s="18"/>
      <c r="D263" s="18"/>
      <c r="E263" s="20"/>
    </row>
    <row r="264" customFormat="false" ht="15" hidden="false" customHeight="false" outlineLevel="0" collapsed="false">
      <c r="A264" s="14"/>
      <c r="B264" s="13"/>
      <c r="C264" s="13"/>
      <c r="D264" s="13"/>
      <c r="E264" s="15"/>
    </row>
    <row r="265" customFormat="false" ht="15" hidden="false" customHeight="false" outlineLevel="0" collapsed="false">
      <c r="A265" s="19"/>
      <c r="B265" s="18"/>
      <c r="C265" s="18"/>
      <c r="D265" s="18"/>
      <c r="E265" s="20"/>
    </row>
    <row r="266" customFormat="false" ht="15" hidden="false" customHeight="false" outlineLevel="0" collapsed="false">
      <c r="A266" s="14"/>
      <c r="B266" s="13"/>
      <c r="C266" s="13"/>
      <c r="D266" s="13"/>
      <c r="E266" s="15"/>
    </row>
    <row r="267" customFormat="false" ht="15" hidden="false" customHeight="false" outlineLevel="0" collapsed="false">
      <c r="A267" s="19"/>
      <c r="B267" s="18"/>
      <c r="C267" s="18"/>
      <c r="D267" s="18"/>
      <c r="E267" s="20"/>
    </row>
    <row r="268" customFormat="false" ht="15" hidden="false" customHeight="false" outlineLevel="0" collapsed="false">
      <c r="A268" s="14"/>
      <c r="B268" s="13"/>
      <c r="C268" s="13"/>
      <c r="D268" s="13"/>
      <c r="E268" s="15"/>
    </row>
    <row r="269" customFormat="false" ht="15" hidden="false" customHeight="false" outlineLevel="0" collapsed="false">
      <c r="A269" s="19"/>
      <c r="B269" s="18"/>
      <c r="C269" s="18"/>
      <c r="D269" s="18"/>
      <c r="E269" s="20"/>
    </row>
    <row r="270" customFormat="false" ht="15" hidden="false" customHeight="false" outlineLevel="0" collapsed="false">
      <c r="A270" s="14"/>
      <c r="B270" s="13"/>
      <c r="C270" s="13"/>
      <c r="D270" s="13"/>
      <c r="E270" s="15"/>
    </row>
    <row r="271" customFormat="false" ht="15" hidden="false" customHeight="false" outlineLevel="0" collapsed="false">
      <c r="A271" s="19"/>
      <c r="B271" s="18"/>
      <c r="C271" s="18"/>
      <c r="D271" s="18"/>
      <c r="E271" s="20"/>
    </row>
    <row r="272" customFormat="false" ht="15" hidden="false" customHeight="false" outlineLevel="0" collapsed="false">
      <c r="A272" s="14"/>
      <c r="B272" s="13"/>
      <c r="C272" s="13"/>
      <c r="D272" s="13"/>
      <c r="E272" s="15"/>
    </row>
    <row r="273" customFormat="false" ht="15" hidden="false" customHeight="false" outlineLevel="0" collapsed="false">
      <c r="A273" s="19"/>
      <c r="B273" s="18"/>
      <c r="C273" s="18"/>
      <c r="D273" s="18"/>
      <c r="E273" s="20"/>
    </row>
    <row r="274" customFormat="false" ht="15" hidden="false" customHeight="false" outlineLevel="0" collapsed="false">
      <c r="A274" s="14"/>
      <c r="B274" s="13"/>
      <c r="C274" s="13"/>
      <c r="D274" s="13"/>
      <c r="E274" s="15"/>
    </row>
    <row r="275" customFormat="false" ht="15" hidden="false" customHeight="false" outlineLevel="0" collapsed="false">
      <c r="A275" s="19"/>
      <c r="B275" s="18"/>
      <c r="C275" s="18"/>
      <c r="D275" s="18"/>
      <c r="E275" s="20"/>
    </row>
    <row r="276" customFormat="false" ht="15" hidden="false" customHeight="false" outlineLevel="0" collapsed="false">
      <c r="A276" s="14"/>
      <c r="B276" s="13"/>
      <c r="C276" s="13"/>
      <c r="D276" s="13"/>
      <c r="E276" s="15"/>
    </row>
    <row r="277" customFormat="false" ht="15" hidden="false" customHeight="false" outlineLevel="0" collapsed="false">
      <c r="A277" s="19"/>
      <c r="B277" s="18"/>
      <c r="C277" s="18"/>
      <c r="D277" s="18"/>
      <c r="E277" s="20"/>
    </row>
    <row r="278" customFormat="false" ht="15" hidden="false" customHeight="false" outlineLevel="0" collapsed="false">
      <c r="A278" s="14"/>
      <c r="B278" s="13"/>
      <c r="C278" s="13"/>
      <c r="D278" s="13"/>
      <c r="E278" s="15"/>
    </row>
    <row r="279" customFormat="false" ht="15" hidden="false" customHeight="false" outlineLevel="0" collapsed="false">
      <c r="A279" s="19"/>
      <c r="B279" s="18"/>
      <c r="C279" s="18"/>
      <c r="D279" s="18"/>
      <c r="E279" s="20"/>
    </row>
    <row r="280" customFormat="false" ht="15" hidden="false" customHeight="false" outlineLevel="0" collapsed="false">
      <c r="A280" s="14"/>
      <c r="B280" s="13"/>
      <c r="C280" s="13"/>
      <c r="D280" s="13"/>
      <c r="E280" s="15"/>
    </row>
    <row r="281" customFormat="false" ht="15" hidden="false" customHeight="false" outlineLevel="0" collapsed="false">
      <c r="A281" s="19"/>
      <c r="B281" s="18"/>
      <c r="C281" s="18"/>
      <c r="D281" s="18"/>
      <c r="E281" s="20"/>
    </row>
    <row r="282" customFormat="false" ht="15" hidden="false" customHeight="false" outlineLevel="0" collapsed="false">
      <c r="A282" s="14"/>
      <c r="B282" s="13"/>
      <c r="C282" s="13"/>
      <c r="D282" s="13"/>
      <c r="E282" s="15"/>
    </row>
    <row r="283" customFormat="false" ht="15" hidden="false" customHeight="false" outlineLevel="0" collapsed="false">
      <c r="A283" s="19"/>
      <c r="B283" s="18"/>
      <c r="C283" s="18"/>
      <c r="D283" s="18"/>
      <c r="E283" s="20"/>
    </row>
    <row r="284" customFormat="false" ht="15" hidden="false" customHeight="false" outlineLevel="0" collapsed="false">
      <c r="A284" s="14"/>
      <c r="B284" s="13"/>
      <c r="C284" s="13"/>
      <c r="D284" s="13"/>
      <c r="E284" s="15"/>
    </row>
    <row r="285" customFormat="false" ht="15" hidden="false" customHeight="false" outlineLevel="0" collapsed="false">
      <c r="A285" s="19"/>
      <c r="B285" s="18"/>
      <c r="C285" s="18"/>
      <c r="D285" s="18"/>
      <c r="E285" s="20"/>
    </row>
    <row r="286" customFormat="false" ht="15" hidden="false" customHeight="false" outlineLevel="0" collapsed="false">
      <c r="A286" s="14"/>
      <c r="B286" s="13"/>
      <c r="C286" s="13"/>
      <c r="D286" s="13"/>
      <c r="E286" s="15"/>
    </row>
    <row r="287" customFormat="false" ht="15" hidden="false" customHeight="false" outlineLevel="0" collapsed="false">
      <c r="A287" s="19"/>
      <c r="B287" s="18"/>
      <c r="C287" s="18"/>
      <c r="D287" s="18"/>
      <c r="E287" s="20"/>
    </row>
    <row r="288" customFormat="false" ht="15" hidden="false" customHeight="false" outlineLevel="0" collapsed="false">
      <c r="A288" s="14"/>
      <c r="B288" s="13"/>
      <c r="C288" s="13"/>
      <c r="D288" s="13"/>
      <c r="E288" s="15"/>
    </row>
    <row r="289" customFormat="false" ht="15" hidden="false" customHeight="false" outlineLevel="0" collapsed="false">
      <c r="A289" s="19"/>
      <c r="B289" s="18"/>
      <c r="C289" s="18"/>
      <c r="D289" s="18"/>
      <c r="E289" s="20"/>
    </row>
    <row r="290" customFormat="false" ht="15" hidden="false" customHeight="false" outlineLevel="0" collapsed="false">
      <c r="A290" s="14"/>
      <c r="B290" s="13"/>
      <c r="C290" s="13"/>
      <c r="D290" s="13"/>
      <c r="E290" s="15"/>
    </row>
    <row r="291" customFormat="false" ht="15" hidden="false" customHeight="false" outlineLevel="0" collapsed="false">
      <c r="A291" s="19"/>
      <c r="B291" s="18"/>
      <c r="C291" s="18"/>
      <c r="D291" s="18"/>
      <c r="E291" s="20"/>
    </row>
    <row r="292" customFormat="false" ht="15" hidden="false" customHeight="false" outlineLevel="0" collapsed="false">
      <c r="A292" s="14"/>
      <c r="B292" s="13"/>
      <c r="C292" s="13"/>
      <c r="D292" s="13"/>
      <c r="E292" s="15"/>
    </row>
    <row r="293" customFormat="false" ht="15" hidden="false" customHeight="false" outlineLevel="0" collapsed="false">
      <c r="A293" s="19"/>
      <c r="B293" s="18"/>
      <c r="C293" s="18"/>
      <c r="D293" s="18"/>
      <c r="E293" s="20"/>
    </row>
    <row r="294" customFormat="false" ht="15" hidden="false" customHeight="false" outlineLevel="0" collapsed="false">
      <c r="A294" s="14"/>
      <c r="B294" s="13"/>
      <c r="C294" s="13"/>
      <c r="D294" s="13"/>
      <c r="E294" s="15"/>
    </row>
    <row r="295" customFormat="false" ht="15" hidden="false" customHeight="false" outlineLevel="0" collapsed="false">
      <c r="A295" s="19"/>
      <c r="B295" s="18"/>
      <c r="C295" s="18"/>
      <c r="D295" s="18"/>
      <c r="E295" s="20"/>
    </row>
    <row r="296" customFormat="false" ht="15" hidden="false" customHeight="false" outlineLevel="0" collapsed="false">
      <c r="A296" s="14"/>
      <c r="B296" s="13"/>
      <c r="C296" s="13"/>
      <c r="D296" s="13"/>
      <c r="E296" s="15"/>
    </row>
    <row r="297" customFormat="false" ht="15" hidden="false" customHeight="false" outlineLevel="0" collapsed="false">
      <c r="A297" s="19"/>
      <c r="B297" s="18"/>
      <c r="C297" s="18"/>
      <c r="D297" s="18"/>
      <c r="E297" s="20"/>
    </row>
    <row r="298" customFormat="false" ht="15" hidden="false" customHeight="false" outlineLevel="0" collapsed="false">
      <c r="A298" s="14"/>
      <c r="B298" s="13"/>
      <c r="C298" s="13"/>
      <c r="D298" s="13"/>
      <c r="E298" s="15"/>
    </row>
    <row r="299" customFormat="false" ht="15" hidden="false" customHeight="false" outlineLevel="0" collapsed="false">
      <c r="A299" s="19"/>
      <c r="B299" s="18"/>
      <c r="C299" s="18"/>
      <c r="D299" s="18"/>
      <c r="E299" s="20"/>
    </row>
    <row r="300" customFormat="false" ht="15" hidden="false" customHeight="false" outlineLevel="0" collapsed="false">
      <c r="A300" s="14"/>
      <c r="B300" s="13"/>
      <c r="C300" s="13"/>
      <c r="D300" s="13"/>
      <c r="E300" s="15"/>
    </row>
    <row r="301" customFormat="false" ht="15" hidden="false" customHeight="false" outlineLevel="0" collapsed="false">
      <c r="A301" s="19"/>
      <c r="B301" s="18"/>
      <c r="C301" s="18"/>
      <c r="D301" s="18"/>
      <c r="E301" s="20"/>
    </row>
    <row r="302" customFormat="false" ht="15" hidden="false" customHeight="false" outlineLevel="0" collapsed="false">
      <c r="A302" s="14"/>
      <c r="B302" s="13"/>
      <c r="C302" s="13"/>
      <c r="D302" s="13"/>
      <c r="E302" s="15"/>
    </row>
    <row r="303" customFormat="false" ht="15" hidden="false" customHeight="false" outlineLevel="0" collapsed="false">
      <c r="A303" s="19"/>
      <c r="B303" s="18"/>
      <c r="C303" s="18"/>
      <c r="D303" s="18"/>
      <c r="E303" s="20"/>
    </row>
    <row r="304" customFormat="false" ht="15" hidden="false" customHeight="false" outlineLevel="0" collapsed="false">
      <c r="A304" s="14"/>
      <c r="B304" s="13"/>
      <c r="C304" s="13"/>
      <c r="D304" s="13"/>
      <c r="E304" s="15"/>
    </row>
    <row r="305" customFormat="false" ht="15" hidden="false" customHeight="false" outlineLevel="0" collapsed="false">
      <c r="A305" s="19"/>
      <c r="B305" s="18"/>
      <c r="C305" s="18"/>
      <c r="D305" s="18"/>
      <c r="E305" s="20"/>
    </row>
    <row r="306" customFormat="false" ht="15" hidden="false" customHeight="false" outlineLevel="0" collapsed="false">
      <c r="A306" s="14"/>
      <c r="B306" s="13"/>
      <c r="C306" s="13"/>
      <c r="D306" s="13"/>
      <c r="E306" s="15"/>
    </row>
    <row r="307" customFormat="false" ht="15" hidden="false" customHeight="false" outlineLevel="0" collapsed="false">
      <c r="A307" s="19"/>
      <c r="B307" s="18"/>
      <c r="C307" s="18"/>
      <c r="D307" s="18"/>
      <c r="E307" s="20"/>
    </row>
    <row r="308" customFormat="false" ht="15" hidden="false" customHeight="false" outlineLevel="0" collapsed="false">
      <c r="A308" s="14"/>
      <c r="B308" s="13"/>
      <c r="C308" s="13"/>
      <c r="D308" s="13"/>
      <c r="E308" s="15"/>
    </row>
    <row r="309" customFormat="false" ht="15" hidden="false" customHeight="false" outlineLevel="0" collapsed="false">
      <c r="A309" s="19"/>
      <c r="B309" s="18"/>
      <c r="C309" s="18"/>
      <c r="D309" s="18"/>
      <c r="E309" s="20"/>
    </row>
    <row r="310" customFormat="false" ht="15" hidden="false" customHeight="false" outlineLevel="0" collapsed="false">
      <c r="A310" s="14"/>
      <c r="B310" s="13"/>
      <c r="C310" s="13"/>
      <c r="D310" s="13"/>
      <c r="E310" s="15"/>
    </row>
    <row r="311" customFormat="false" ht="15" hidden="false" customHeight="false" outlineLevel="0" collapsed="false">
      <c r="A311" s="19"/>
      <c r="B311" s="18"/>
      <c r="C311" s="18"/>
      <c r="D311" s="18"/>
      <c r="E311" s="20"/>
    </row>
    <row r="312" customFormat="false" ht="15" hidden="false" customHeight="false" outlineLevel="0" collapsed="false">
      <c r="A312" s="14"/>
      <c r="B312" s="13"/>
      <c r="C312" s="13"/>
      <c r="D312" s="13"/>
      <c r="E312" s="15"/>
    </row>
    <row r="313" customFormat="false" ht="15" hidden="false" customHeight="false" outlineLevel="0" collapsed="false">
      <c r="A313" s="19"/>
      <c r="B313" s="18"/>
      <c r="C313" s="18"/>
      <c r="D313" s="18"/>
      <c r="E313" s="20"/>
    </row>
    <row r="314" customFormat="false" ht="15" hidden="false" customHeight="false" outlineLevel="0" collapsed="false">
      <c r="A314" s="14"/>
      <c r="B314" s="13"/>
      <c r="C314" s="13"/>
      <c r="D314" s="13"/>
      <c r="E314" s="15"/>
    </row>
    <row r="315" customFormat="false" ht="15" hidden="false" customHeight="false" outlineLevel="0" collapsed="false">
      <c r="A315" s="19"/>
      <c r="B315" s="18"/>
      <c r="C315" s="18"/>
      <c r="D315" s="18"/>
      <c r="E315" s="20"/>
    </row>
    <row r="316" customFormat="false" ht="15" hidden="false" customHeight="false" outlineLevel="0" collapsed="false">
      <c r="A316" s="14"/>
      <c r="B316" s="13"/>
      <c r="C316" s="13"/>
      <c r="D316" s="13"/>
      <c r="E316" s="15"/>
    </row>
    <row r="317" customFormat="false" ht="15" hidden="false" customHeight="false" outlineLevel="0" collapsed="false">
      <c r="A317" s="19"/>
      <c r="B317" s="18"/>
      <c r="C317" s="18"/>
      <c r="D317" s="18"/>
      <c r="E317" s="20"/>
    </row>
    <row r="318" customFormat="false" ht="15" hidden="false" customHeight="false" outlineLevel="0" collapsed="false">
      <c r="A318" s="14"/>
      <c r="B318" s="13"/>
      <c r="C318" s="13"/>
      <c r="D318" s="13"/>
      <c r="E318" s="15"/>
    </row>
    <row r="319" customFormat="false" ht="15" hidden="false" customHeight="false" outlineLevel="0" collapsed="false">
      <c r="A319" s="19"/>
      <c r="B319" s="18"/>
      <c r="C319" s="18"/>
      <c r="D319" s="18"/>
      <c r="E319" s="20"/>
    </row>
    <row r="320" customFormat="false" ht="15" hidden="false" customHeight="false" outlineLevel="0" collapsed="false">
      <c r="A320" s="14"/>
      <c r="B320" s="13"/>
      <c r="C320" s="13"/>
      <c r="D320" s="13"/>
      <c r="E320" s="15"/>
    </row>
    <row r="321" customFormat="false" ht="15" hidden="false" customHeight="false" outlineLevel="0" collapsed="false">
      <c r="A321" s="19"/>
      <c r="B321" s="18"/>
      <c r="C321" s="18"/>
      <c r="D321" s="18"/>
      <c r="E321" s="20"/>
    </row>
    <row r="322" customFormat="false" ht="15" hidden="false" customHeight="false" outlineLevel="0" collapsed="false">
      <c r="A322" s="14"/>
      <c r="B322" s="13"/>
      <c r="C322" s="13"/>
      <c r="D322" s="13"/>
      <c r="E322" s="15"/>
    </row>
    <row r="323" customFormat="false" ht="15" hidden="false" customHeight="false" outlineLevel="0" collapsed="false">
      <c r="A323" s="19"/>
      <c r="B323" s="18"/>
      <c r="C323" s="18"/>
      <c r="D323" s="18"/>
      <c r="E323" s="20"/>
    </row>
    <row r="324" customFormat="false" ht="15" hidden="false" customHeight="false" outlineLevel="0" collapsed="false">
      <c r="A324" s="14"/>
      <c r="B324" s="13"/>
      <c r="C324" s="13"/>
      <c r="D324" s="13"/>
      <c r="E324" s="15"/>
    </row>
    <row r="325" customFormat="false" ht="15" hidden="false" customHeight="false" outlineLevel="0" collapsed="false">
      <c r="A325" s="19"/>
      <c r="B325" s="18"/>
      <c r="C325" s="18"/>
      <c r="D325" s="18"/>
      <c r="E325" s="20"/>
    </row>
    <row r="326" customFormat="false" ht="15" hidden="false" customHeight="false" outlineLevel="0" collapsed="false">
      <c r="A326" s="14"/>
      <c r="B326" s="13"/>
      <c r="C326" s="13"/>
      <c r="D326" s="13"/>
      <c r="E326" s="15"/>
    </row>
    <row r="327" customFormat="false" ht="15" hidden="false" customHeight="false" outlineLevel="0" collapsed="false">
      <c r="A327" s="19"/>
      <c r="B327" s="18"/>
      <c r="C327" s="18"/>
      <c r="D327" s="18"/>
      <c r="E327" s="20"/>
    </row>
    <row r="328" customFormat="false" ht="15" hidden="false" customHeight="false" outlineLevel="0" collapsed="false">
      <c r="A328" s="14"/>
      <c r="B328" s="13"/>
      <c r="C328" s="13"/>
      <c r="D328" s="13"/>
      <c r="E328" s="15"/>
    </row>
    <row r="329" customFormat="false" ht="15" hidden="false" customHeight="false" outlineLevel="0" collapsed="false">
      <c r="A329" s="19"/>
      <c r="B329" s="18"/>
      <c r="C329" s="18"/>
      <c r="D329" s="18"/>
      <c r="E329" s="20"/>
    </row>
    <row r="330" customFormat="false" ht="15" hidden="false" customHeight="false" outlineLevel="0" collapsed="false">
      <c r="A330" s="14"/>
      <c r="B330" s="13"/>
      <c r="C330" s="13"/>
      <c r="D330" s="13"/>
      <c r="E330" s="15"/>
    </row>
    <row r="331" customFormat="false" ht="15" hidden="false" customHeight="false" outlineLevel="0" collapsed="false">
      <c r="A331" s="19"/>
      <c r="B331" s="18"/>
      <c r="C331" s="18"/>
      <c r="D331" s="18"/>
      <c r="E331" s="20"/>
    </row>
    <row r="332" customFormat="false" ht="15" hidden="false" customHeight="false" outlineLevel="0" collapsed="false">
      <c r="A332" s="14"/>
      <c r="B332" s="13"/>
      <c r="C332" s="13"/>
      <c r="D332" s="13"/>
      <c r="E332" s="15"/>
    </row>
    <row r="333" customFormat="false" ht="15" hidden="false" customHeight="false" outlineLevel="0" collapsed="false">
      <c r="A333" s="19"/>
      <c r="B333" s="18"/>
      <c r="C333" s="18"/>
      <c r="D333" s="18"/>
      <c r="E333" s="20"/>
    </row>
    <row r="334" customFormat="false" ht="15" hidden="false" customHeight="false" outlineLevel="0" collapsed="false">
      <c r="A334" s="14"/>
      <c r="B334" s="13"/>
      <c r="C334" s="13"/>
      <c r="D334" s="13"/>
      <c r="E334" s="15"/>
    </row>
    <row r="335" customFormat="false" ht="15" hidden="false" customHeight="false" outlineLevel="0" collapsed="false">
      <c r="A335" s="19"/>
      <c r="B335" s="18"/>
      <c r="C335" s="18"/>
      <c r="D335" s="18"/>
      <c r="E335" s="20"/>
    </row>
    <row r="336" customFormat="false" ht="15" hidden="false" customHeight="false" outlineLevel="0" collapsed="false">
      <c r="A336" s="14"/>
      <c r="B336" s="13"/>
      <c r="C336" s="13"/>
      <c r="D336" s="13"/>
      <c r="E336" s="15"/>
    </row>
    <row r="337" customFormat="false" ht="15" hidden="false" customHeight="false" outlineLevel="0" collapsed="false">
      <c r="A337" s="19"/>
      <c r="B337" s="18"/>
      <c r="C337" s="18"/>
      <c r="D337" s="18"/>
      <c r="E337" s="20"/>
    </row>
    <row r="338" customFormat="false" ht="15" hidden="false" customHeight="false" outlineLevel="0" collapsed="false">
      <c r="A338" s="14"/>
      <c r="B338" s="13"/>
      <c r="C338" s="13"/>
      <c r="D338" s="13"/>
      <c r="E338" s="15"/>
    </row>
    <row r="339" customFormat="false" ht="15" hidden="false" customHeight="false" outlineLevel="0" collapsed="false">
      <c r="A339" s="19"/>
      <c r="B339" s="18"/>
      <c r="C339" s="18"/>
      <c r="D339" s="18"/>
      <c r="E339" s="20"/>
    </row>
    <row r="340" customFormat="false" ht="15" hidden="false" customHeight="false" outlineLevel="0" collapsed="false">
      <c r="A340" s="14"/>
      <c r="B340" s="13"/>
      <c r="C340" s="13"/>
      <c r="D340" s="13"/>
      <c r="E340" s="15"/>
    </row>
    <row r="341" customFormat="false" ht="15" hidden="false" customHeight="false" outlineLevel="0" collapsed="false">
      <c r="A341" s="19"/>
      <c r="B341" s="18"/>
      <c r="C341" s="18"/>
      <c r="D341" s="18"/>
      <c r="E341" s="20"/>
    </row>
    <row r="342" customFormat="false" ht="15" hidden="false" customHeight="false" outlineLevel="0" collapsed="false">
      <c r="A342" s="14"/>
      <c r="B342" s="13"/>
      <c r="C342" s="13"/>
      <c r="D342" s="13"/>
      <c r="E342" s="15"/>
    </row>
    <row r="343" customFormat="false" ht="15" hidden="false" customHeight="false" outlineLevel="0" collapsed="false">
      <c r="A343" s="19"/>
      <c r="B343" s="18"/>
      <c r="C343" s="18"/>
      <c r="D343" s="18"/>
      <c r="E343" s="20"/>
    </row>
    <row r="344" customFormat="false" ht="15" hidden="false" customHeight="false" outlineLevel="0" collapsed="false">
      <c r="A344" s="14"/>
      <c r="B344" s="13"/>
      <c r="C344" s="13"/>
      <c r="D344" s="13"/>
      <c r="E344" s="15"/>
    </row>
    <row r="345" customFormat="false" ht="15" hidden="false" customHeight="false" outlineLevel="0" collapsed="false">
      <c r="A345" s="19"/>
      <c r="B345" s="18"/>
      <c r="C345" s="18"/>
      <c r="D345" s="18"/>
      <c r="E345" s="20"/>
    </row>
    <row r="346" customFormat="false" ht="15" hidden="false" customHeight="false" outlineLevel="0" collapsed="false">
      <c r="A346" s="14"/>
      <c r="B346" s="13"/>
      <c r="C346" s="13"/>
      <c r="D346" s="13"/>
      <c r="E346" s="15"/>
    </row>
    <row r="347" customFormat="false" ht="15" hidden="false" customHeight="false" outlineLevel="0" collapsed="false">
      <c r="A347" s="19"/>
      <c r="B347" s="18"/>
      <c r="C347" s="18"/>
      <c r="D347" s="18"/>
      <c r="E347" s="20"/>
    </row>
    <row r="348" customFormat="false" ht="15" hidden="false" customHeight="false" outlineLevel="0" collapsed="false">
      <c r="A348" s="14"/>
      <c r="B348" s="13"/>
      <c r="C348" s="13"/>
      <c r="D348" s="13"/>
      <c r="E348" s="15"/>
    </row>
    <row r="349" customFormat="false" ht="15" hidden="false" customHeight="false" outlineLevel="0" collapsed="false">
      <c r="A349" s="19"/>
      <c r="B349" s="18"/>
      <c r="C349" s="18"/>
      <c r="D349" s="18"/>
      <c r="E349" s="20"/>
    </row>
    <row r="350" customFormat="false" ht="15" hidden="false" customHeight="false" outlineLevel="0" collapsed="false">
      <c r="A350" s="14"/>
      <c r="B350" s="13"/>
      <c r="C350" s="13"/>
      <c r="D350" s="13"/>
      <c r="E350" s="15"/>
    </row>
    <row r="351" customFormat="false" ht="15" hidden="false" customHeight="false" outlineLevel="0" collapsed="false">
      <c r="A351" s="19"/>
      <c r="B351" s="18"/>
      <c r="C351" s="18"/>
      <c r="D351" s="18"/>
      <c r="E351" s="20"/>
    </row>
    <row r="352" customFormat="false" ht="15" hidden="false" customHeight="false" outlineLevel="0" collapsed="false">
      <c r="A352" s="14"/>
      <c r="B352" s="13"/>
      <c r="C352" s="13"/>
      <c r="D352" s="13"/>
      <c r="E352" s="15"/>
    </row>
    <row r="353" customFormat="false" ht="15" hidden="false" customHeight="false" outlineLevel="0" collapsed="false">
      <c r="A353" s="19"/>
      <c r="B353" s="18"/>
      <c r="C353" s="18"/>
      <c r="D353" s="18"/>
      <c r="E353" s="20"/>
    </row>
    <row r="354" customFormat="false" ht="15" hidden="false" customHeight="false" outlineLevel="0" collapsed="false">
      <c r="A354" s="14"/>
      <c r="B354" s="13"/>
      <c r="C354" s="13"/>
      <c r="D354" s="13"/>
      <c r="E354" s="15"/>
    </row>
    <row r="355" customFormat="false" ht="15" hidden="false" customHeight="false" outlineLevel="0" collapsed="false">
      <c r="A355" s="19"/>
      <c r="B355" s="18"/>
      <c r="C355" s="18"/>
      <c r="D355" s="18"/>
      <c r="E355" s="20"/>
    </row>
    <row r="356" customFormat="false" ht="15" hidden="false" customHeight="false" outlineLevel="0" collapsed="false">
      <c r="A356" s="14"/>
      <c r="B356" s="13"/>
      <c r="C356" s="13"/>
      <c r="D356" s="13"/>
      <c r="E356" s="15"/>
    </row>
    <row r="357" customFormat="false" ht="15" hidden="false" customHeight="false" outlineLevel="0" collapsed="false">
      <c r="A357" s="19"/>
      <c r="B357" s="18"/>
      <c r="C357" s="18"/>
      <c r="D357" s="18"/>
      <c r="E357" s="20"/>
    </row>
    <row r="358" customFormat="false" ht="15" hidden="false" customHeight="false" outlineLevel="0" collapsed="false">
      <c r="A358" s="14"/>
      <c r="B358" s="13"/>
      <c r="C358" s="13"/>
      <c r="D358" s="13"/>
      <c r="E358" s="15"/>
    </row>
    <row r="359" customFormat="false" ht="15" hidden="false" customHeight="false" outlineLevel="0" collapsed="false">
      <c r="A359" s="19"/>
      <c r="B359" s="18"/>
      <c r="C359" s="18"/>
      <c r="D359" s="18"/>
      <c r="E359" s="20"/>
    </row>
    <row r="360" customFormat="false" ht="15" hidden="false" customHeight="false" outlineLevel="0" collapsed="false">
      <c r="A360" s="14"/>
      <c r="B360" s="13"/>
      <c r="C360" s="13"/>
      <c r="D360" s="13"/>
      <c r="E360" s="15"/>
    </row>
    <row r="361" customFormat="false" ht="15" hidden="false" customHeight="false" outlineLevel="0" collapsed="false">
      <c r="A361" s="19"/>
      <c r="B361" s="18"/>
      <c r="C361" s="18"/>
      <c r="D361" s="18"/>
      <c r="E361" s="20"/>
    </row>
    <row r="362" customFormat="false" ht="15" hidden="false" customHeight="false" outlineLevel="0" collapsed="false">
      <c r="A362" s="14"/>
      <c r="B362" s="13"/>
      <c r="C362" s="13"/>
      <c r="D362" s="13"/>
      <c r="E362" s="15"/>
    </row>
    <row r="363" customFormat="false" ht="15" hidden="false" customHeight="false" outlineLevel="0" collapsed="false">
      <c r="A363" s="19"/>
      <c r="B363" s="18"/>
      <c r="C363" s="18"/>
      <c r="D363" s="18"/>
      <c r="E363" s="20"/>
    </row>
    <row r="364" customFormat="false" ht="15" hidden="false" customHeight="false" outlineLevel="0" collapsed="false">
      <c r="A364" s="14"/>
      <c r="B364" s="13"/>
      <c r="C364" s="13"/>
      <c r="D364" s="13"/>
      <c r="E364" s="15"/>
    </row>
    <row r="365" customFormat="false" ht="15" hidden="false" customHeight="false" outlineLevel="0" collapsed="false">
      <c r="A365" s="19"/>
      <c r="B365" s="18"/>
      <c r="C365" s="18"/>
      <c r="D365" s="18"/>
      <c r="E365" s="20"/>
    </row>
    <row r="366" customFormat="false" ht="15" hidden="false" customHeight="false" outlineLevel="0" collapsed="false">
      <c r="A366" s="14"/>
      <c r="B366" s="13"/>
      <c r="C366" s="13"/>
      <c r="D366" s="13"/>
      <c r="E366" s="15"/>
    </row>
    <row r="367" customFormat="false" ht="15" hidden="false" customHeight="false" outlineLevel="0" collapsed="false">
      <c r="A367" s="19"/>
      <c r="B367" s="18"/>
      <c r="C367" s="18"/>
      <c r="D367" s="18"/>
      <c r="E367" s="20"/>
    </row>
    <row r="368" customFormat="false" ht="15" hidden="false" customHeight="false" outlineLevel="0" collapsed="false">
      <c r="A368" s="14"/>
      <c r="B368" s="13"/>
      <c r="C368" s="13"/>
      <c r="D368" s="13"/>
      <c r="E368" s="15"/>
    </row>
    <row r="369" customFormat="false" ht="15" hidden="false" customHeight="false" outlineLevel="0" collapsed="false">
      <c r="A369" s="19"/>
      <c r="B369" s="18"/>
      <c r="C369" s="18"/>
      <c r="D369" s="18"/>
      <c r="E369" s="20"/>
    </row>
    <row r="370" customFormat="false" ht="15" hidden="false" customHeight="false" outlineLevel="0" collapsed="false">
      <c r="A370" s="14"/>
      <c r="B370" s="13"/>
      <c r="C370" s="13"/>
      <c r="D370" s="13"/>
      <c r="E370" s="15"/>
    </row>
    <row r="371" customFormat="false" ht="15" hidden="false" customHeight="false" outlineLevel="0" collapsed="false">
      <c r="A371" s="19"/>
      <c r="B371" s="18"/>
      <c r="C371" s="18"/>
      <c r="D371" s="18"/>
      <c r="E371" s="20"/>
    </row>
    <row r="372" customFormat="false" ht="15" hidden="false" customHeight="false" outlineLevel="0" collapsed="false">
      <c r="A372" s="14"/>
      <c r="B372" s="13"/>
      <c r="C372" s="13"/>
      <c r="D372" s="13"/>
      <c r="E372" s="15"/>
    </row>
    <row r="373" customFormat="false" ht="15" hidden="false" customHeight="false" outlineLevel="0" collapsed="false">
      <c r="A373" s="19"/>
      <c r="B373" s="18"/>
      <c r="C373" s="18"/>
      <c r="D373" s="18"/>
      <c r="E373" s="20"/>
    </row>
    <row r="374" customFormat="false" ht="15" hidden="false" customHeight="false" outlineLevel="0" collapsed="false">
      <c r="A374" s="14"/>
      <c r="B374" s="13"/>
      <c r="C374" s="13"/>
      <c r="D374" s="13"/>
      <c r="E374" s="15"/>
    </row>
    <row r="375" customFormat="false" ht="15" hidden="false" customHeight="false" outlineLevel="0" collapsed="false">
      <c r="A375" s="19"/>
      <c r="B375" s="18"/>
      <c r="C375" s="18"/>
      <c r="D375" s="18"/>
      <c r="E375" s="20"/>
    </row>
    <row r="376" customFormat="false" ht="15" hidden="false" customHeight="false" outlineLevel="0" collapsed="false">
      <c r="A376" s="14"/>
      <c r="B376" s="13"/>
      <c r="C376" s="13"/>
      <c r="D376" s="13"/>
      <c r="E376" s="15"/>
    </row>
    <row r="377" customFormat="false" ht="15" hidden="false" customHeight="false" outlineLevel="0" collapsed="false">
      <c r="A377" s="19"/>
      <c r="B377" s="18"/>
      <c r="C377" s="18"/>
      <c r="D377" s="18"/>
      <c r="E377" s="20"/>
    </row>
    <row r="378" customFormat="false" ht="15" hidden="false" customHeight="false" outlineLevel="0" collapsed="false">
      <c r="A378" s="14"/>
      <c r="B378" s="13"/>
      <c r="C378" s="13"/>
      <c r="D378" s="13"/>
      <c r="E378" s="15"/>
    </row>
    <row r="379" customFormat="false" ht="15" hidden="false" customHeight="false" outlineLevel="0" collapsed="false">
      <c r="A379" s="19"/>
      <c r="B379" s="18"/>
      <c r="C379" s="18"/>
      <c r="D379" s="18"/>
      <c r="E379" s="20"/>
    </row>
    <row r="380" customFormat="false" ht="15" hidden="false" customHeight="false" outlineLevel="0" collapsed="false">
      <c r="A380" s="14"/>
      <c r="B380" s="13"/>
      <c r="C380" s="13"/>
      <c r="D380" s="13"/>
      <c r="E380" s="15"/>
    </row>
    <row r="381" customFormat="false" ht="15" hidden="false" customHeight="false" outlineLevel="0" collapsed="false">
      <c r="A381" s="19"/>
      <c r="B381" s="18"/>
      <c r="C381" s="18"/>
      <c r="D381" s="18"/>
      <c r="E381" s="20"/>
    </row>
    <row r="382" customFormat="false" ht="15" hidden="false" customHeight="false" outlineLevel="0" collapsed="false">
      <c r="A382" s="14"/>
      <c r="B382" s="13"/>
      <c r="C382" s="13"/>
      <c r="D382" s="13"/>
      <c r="E382" s="15"/>
    </row>
    <row r="383" customFormat="false" ht="15" hidden="false" customHeight="false" outlineLevel="0" collapsed="false">
      <c r="A383" s="19"/>
      <c r="B383" s="18"/>
      <c r="C383" s="18"/>
      <c r="D383" s="18"/>
      <c r="E383" s="20"/>
    </row>
    <row r="384" customFormat="false" ht="15" hidden="false" customHeight="false" outlineLevel="0" collapsed="false">
      <c r="A384" s="14"/>
      <c r="B384" s="13"/>
      <c r="C384" s="13"/>
      <c r="D384" s="13"/>
      <c r="E384" s="15"/>
    </row>
    <row r="385" customFormat="false" ht="15" hidden="false" customHeight="false" outlineLevel="0" collapsed="false">
      <c r="A385" s="19"/>
      <c r="B385" s="18"/>
      <c r="C385" s="18"/>
      <c r="D385" s="18"/>
      <c r="E385" s="20"/>
    </row>
    <row r="386" customFormat="false" ht="15" hidden="false" customHeight="false" outlineLevel="0" collapsed="false">
      <c r="A386" s="14"/>
      <c r="B386" s="13"/>
      <c r="C386" s="13"/>
      <c r="D386" s="13"/>
      <c r="E386" s="15"/>
    </row>
    <row r="387" customFormat="false" ht="15" hidden="false" customHeight="false" outlineLevel="0" collapsed="false">
      <c r="A387" s="19"/>
      <c r="B387" s="18"/>
      <c r="C387" s="18"/>
      <c r="D387" s="18"/>
      <c r="E387" s="20"/>
    </row>
    <row r="388" customFormat="false" ht="15" hidden="false" customHeight="false" outlineLevel="0" collapsed="false">
      <c r="A388" s="14"/>
      <c r="B388" s="13"/>
      <c r="C388" s="13"/>
      <c r="D388" s="13"/>
      <c r="E388" s="15"/>
    </row>
    <row r="389" customFormat="false" ht="15" hidden="false" customHeight="false" outlineLevel="0" collapsed="false">
      <c r="A389" s="19"/>
      <c r="B389" s="18"/>
      <c r="C389" s="18"/>
      <c r="D389" s="18"/>
      <c r="E389" s="20"/>
    </row>
    <row r="390" customFormat="false" ht="15" hidden="false" customHeight="false" outlineLevel="0" collapsed="false">
      <c r="A390" s="14"/>
      <c r="B390" s="13"/>
      <c r="C390" s="13"/>
      <c r="D390" s="13"/>
      <c r="E390" s="15"/>
    </row>
    <row r="391" customFormat="false" ht="15" hidden="false" customHeight="false" outlineLevel="0" collapsed="false">
      <c r="A391" s="19"/>
      <c r="B391" s="18"/>
      <c r="C391" s="18"/>
      <c r="D391" s="18"/>
      <c r="E391" s="20"/>
    </row>
    <row r="392" customFormat="false" ht="15" hidden="false" customHeight="false" outlineLevel="0" collapsed="false">
      <c r="A392" s="14"/>
      <c r="B392" s="13"/>
      <c r="C392" s="13"/>
      <c r="D392" s="13"/>
      <c r="E392" s="15"/>
    </row>
    <row r="393" customFormat="false" ht="15" hidden="false" customHeight="false" outlineLevel="0" collapsed="false">
      <c r="A393" s="19"/>
      <c r="B393" s="18"/>
      <c r="C393" s="18"/>
      <c r="D393" s="18"/>
      <c r="E393" s="20"/>
    </row>
    <row r="394" customFormat="false" ht="15" hidden="false" customHeight="false" outlineLevel="0" collapsed="false">
      <c r="A394" s="14"/>
      <c r="B394" s="13"/>
      <c r="C394" s="13"/>
      <c r="D394" s="13"/>
      <c r="E394" s="15"/>
    </row>
    <row r="395" customFormat="false" ht="15" hidden="false" customHeight="false" outlineLevel="0" collapsed="false">
      <c r="A395" s="19"/>
      <c r="B395" s="18"/>
      <c r="C395" s="18"/>
      <c r="D395" s="18"/>
      <c r="E395" s="20"/>
    </row>
    <row r="396" customFormat="false" ht="15" hidden="false" customHeight="false" outlineLevel="0" collapsed="false">
      <c r="A396" s="14"/>
      <c r="B396" s="13"/>
      <c r="C396" s="13"/>
      <c r="D396" s="13"/>
      <c r="E396" s="15"/>
    </row>
    <row r="397" customFormat="false" ht="15" hidden="false" customHeight="false" outlineLevel="0" collapsed="false">
      <c r="A397" s="19"/>
      <c r="B397" s="18"/>
      <c r="C397" s="18"/>
      <c r="D397" s="18"/>
      <c r="E397" s="20"/>
    </row>
    <row r="398" customFormat="false" ht="15" hidden="false" customHeight="false" outlineLevel="0" collapsed="false">
      <c r="A398" s="14"/>
      <c r="B398" s="13"/>
      <c r="C398" s="13"/>
      <c r="D398" s="13"/>
      <c r="E398" s="15"/>
    </row>
    <row r="399" customFormat="false" ht="15" hidden="false" customHeight="false" outlineLevel="0" collapsed="false">
      <c r="A399" s="19"/>
      <c r="B399" s="18"/>
      <c r="C399" s="18"/>
      <c r="D399" s="18"/>
      <c r="E399" s="20"/>
    </row>
    <row r="400" customFormat="false" ht="15" hidden="false" customHeight="false" outlineLevel="0" collapsed="false">
      <c r="A400" s="14"/>
      <c r="B400" s="13"/>
      <c r="C400" s="13"/>
      <c r="D400" s="13"/>
      <c r="E400" s="15"/>
    </row>
    <row r="401" customFormat="false" ht="15" hidden="false" customHeight="false" outlineLevel="0" collapsed="false">
      <c r="A401" s="19"/>
      <c r="B401" s="18"/>
      <c r="C401" s="18"/>
      <c r="D401" s="18"/>
      <c r="E401" s="20"/>
    </row>
    <row r="402" customFormat="false" ht="15" hidden="false" customHeight="false" outlineLevel="0" collapsed="false">
      <c r="A402" s="14"/>
      <c r="B402" s="13"/>
      <c r="C402" s="13"/>
      <c r="D402" s="13"/>
      <c r="E402" s="15"/>
    </row>
    <row r="403" customFormat="false" ht="15" hidden="false" customHeight="false" outlineLevel="0" collapsed="false">
      <c r="A403" s="19"/>
      <c r="B403" s="18"/>
      <c r="C403" s="18"/>
      <c r="D403" s="18"/>
      <c r="E403" s="20"/>
    </row>
    <row r="404" customFormat="false" ht="15" hidden="false" customHeight="false" outlineLevel="0" collapsed="false">
      <c r="A404" s="14"/>
      <c r="B404" s="13"/>
      <c r="C404" s="13"/>
      <c r="D404" s="13"/>
      <c r="E404" s="15"/>
    </row>
    <row r="405" customFormat="false" ht="15" hidden="false" customHeight="false" outlineLevel="0" collapsed="false">
      <c r="A405" s="19"/>
      <c r="B405" s="18"/>
      <c r="C405" s="18"/>
      <c r="D405" s="18"/>
      <c r="E405" s="20"/>
    </row>
    <row r="406" customFormat="false" ht="15" hidden="false" customHeight="false" outlineLevel="0" collapsed="false">
      <c r="A406" s="14"/>
      <c r="B406" s="13"/>
      <c r="C406" s="13"/>
      <c r="D406" s="13"/>
      <c r="E406" s="15"/>
    </row>
    <row r="407" customFormat="false" ht="15" hidden="false" customHeight="false" outlineLevel="0" collapsed="false">
      <c r="A407" s="19"/>
      <c r="B407" s="18"/>
      <c r="C407" s="18"/>
      <c r="D407" s="18"/>
      <c r="E407" s="20"/>
    </row>
    <row r="408" customFormat="false" ht="15" hidden="false" customHeight="false" outlineLevel="0" collapsed="false">
      <c r="A408" s="14"/>
      <c r="B408" s="13"/>
      <c r="C408" s="13"/>
      <c r="D408" s="13"/>
      <c r="E408" s="15"/>
    </row>
    <row r="409" customFormat="false" ht="15" hidden="false" customHeight="false" outlineLevel="0" collapsed="false">
      <c r="A409" s="19"/>
      <c r="B409" s="18"/>
      <c r="C409" s="18"/>
      <c r="D409" s="18"/>
      <c r="E409" s="20"/>
    </row>
    <row r="410" customFormat="false" ht="15" hidden="false" customHeight="false" outlineLevel="0" collapsed="false">
      <c r="A410" s="14"/>
      <c r="B410" s="13"/>
      <c r="C410" s="13"/>
      <c r="D410" s="13"/>
      <c r="E410" s="15"/>
    </row>
    <row r="411" customFormat="false" ht="15" hidden="false" customHeight="false" outlineLevel="0" collapsed="false">
      <c r="A411" s="19"/>
      <c r="B411" s="18"/>
      <c r="C411" s="18"/>
      <c r="D411" s="18"/>
      <c r="E411" s="20"/>
    </row>
    <row r="412" customFormat="false" ht="15" hidden="false" customHeight="false" outlineLevel="0" collapsed="false">
      <c r="A412" s="14"/>
      <c r="B412" s="13"/>
      <c r="C412" s="13"/>
      <c r="D412" s="13"/>
      <c r="E412" s="15"/>
    </row>
    <row r="413" customFormat="false" ht="15" hidden="false" customHeight="false" outlineLevel="0" collapsed="false">
      <c r="A413" s="19"/>
      <c r="B413" s="18"/>
      <c r="C413" s="18"/>
      <c r="D413" s="18"/>
      <c r="E413" s="20"/>
    </row>
    <row r="414" customFormat="false" ht="15" hidden="false" customHeight="false" outlineLevel="0" collapsed="false">
      <c r="A414" s="14"/>
      <c r="B414" s="13"/>
      <c r="C414" s="13"/>
      <c r="D414" s="13"/>
      <c r="E414" s="15"/>
    </row>
    <row r="415" customFormat="false" ht="15" hidden="false" customHeight="false" outlineLevel="0" collapsed="false">
      <c r="A415" s="19"/>
      <c r="B415" s="18"/>
      <c r="C415" s="18"/>
      <c r="D415" s="18"/>
      <c r="E415" s="20"/>
    </row>
    <row r="416" customFormat="false" ht="15" hidden="false" customHeight="false" outlineLevel="0" collapsed="false">
      <c r="A416" s="14"/>
      <c r="B416" s="13"/>
      <c r="C416" s="13"/>
      <c r="D416" s="13"/>
      <c r="E416" s="15"/>
    </row>
    <row r="417" customFormat="false" ht="15" hidden="false" customHeight="false" outlineLevel="0" collapsed="false">
      <c r="A417" s="19"/>
      <c r="B417" s="18"/>
      <c r="C417" s="18"/>
      <c r="D417" s="18"/>
      <c r="E417" s="20"/>
    </row>
    <row r="418" customFormat="false" ht="15" hidden="false" customHeight="false" outlineLevel="0" collapsed="false">
      <c r="A418" s="14"/>
      <c r="B418" s="13"/>
      <c r="C418" s="13"/>
      <c r="D418" s="13"/>
      <c r="E418" s="15"/>
    </row>
    <row r="419" customFormat="false" ht="15" hidden="false" customHeight="false" outlineLevel="0" collapsed="false">
      <c r="A419" s="19"/>
      <c r="B419" s="18"/>
      <c r="C419" s="18"/>
      <c r="D419" s="18"/>
      <c r="E419" s="20"/>
    </row>
    <row r="420" customFormat="false" ht="15" hidden="false" customHeight="false" outlineLevel="0" collapsed="false">
      <c r="A420" s="14"/>
      <c r="B420" s="13"/>
      <c r="C420" s="13"/>
      <c r="D420" s="13"/>
      <c r="E420" s="15"/>
    </row>
    <row r="421" customFormat="false" ht="15" hidden="false" customHeight="false" outlineLevel="0" collapsed="false">
      <c r="A421" s="19"/>
      <c r="B421" s="18"/>
      <c r="C421" s="18"/>
      <c r="D421" s="18"/>
      <c r="E421" s="20"/>
    </row>
    <row r="422" customFormat="false" ht="15" hidden="false" customHeight="false" outlineLevel="0" collapsed="false">
      <c r="A422" s="14"/>
      <c r="B422" s="13"/>
      <c r="C422" s="13"/>
      <c r="D422" s="13"/>
      <c r="E422" s="15"/>
    </row>
    <row r="423" customFormat="false" ht="15" hidden="false" customHeight="false" outlineLevel="0" collapsed="false">
      <c r="A423" s="19"/>
      <c r="B423" s="18"/>
      <c r="C423" s="18"/>
      <c r="D423" s="18"/>
      <c r="E423" s="20"/>
    </row>
    <row r="424" customFormat="false" ht="15" hidden="false" customHeight="false" outlineLevel="0" collapsed="false">
      <c r="A424" s="14"/>
      <c r="B424" s="13"/>
      <c r="C424" s="13"/>
      <c r="D424" s="13"/>
      <c r="E424" s="15"/>
    </row>
    <row r="425" customFormat="false" ht="15" hidden="false" customHeight="false" outlineLevel="0" collapsed="false">
      <c r="A425" s="19"/>
      <c r="B425" s="18"/>
      <c r="C425" s="18"/>
      <c r="D425" s="18"/>
      <c r="E425" s="20"/>
    </row>
    <row r="426" customFormat="false" ht="15" hidden="false" customHeight="false" outlineLevel="0" collapsed="false">
      <c r="A426" s="14"/>
      <c r="B426" s="13"/>
      <c r="C426" s="13"/>
      <c r="D426" s="13"/>
      <c r="E426" s="15"/>
    </row>
    <row r="427" customFormat="false" ht="15" hidden="false" customHeight="false" outlineLevel="0" collapsed="false">
      <c r="A427" s="19"/>
      <c r="B427" s="18"/>
      <c r="C427" s="18"/>
      <c r="D427" s="18"/>
      <c r="E427" s="20"/>
    </row>
    <row r="428" customFormat="false" ht="15" hidden="false" customHeight="false" outlineLevel="0" collapsed="false">
      <c r="A428" s="14"/>
      <c r="B428" s="13"/>
      <c r="C428" s="13"/>
      <c r="D428" s="13"/>
      <c r="E428" s="15"/>
    </row>
    <row r="429" customFormat="false" ht="15" hidden="false" customHeight="false" outlineLevel="0" collapsed="false">
      <c r="A429" s="19"/>
      <c r="B429" s="18"/>
      <c r="C429" s="18"/>
      <c r="D429" s="18"/>
      <c r="E429" s="20"/>
    </row>
    <row r="430" customFormat="false" ht="15" hidden="false" customHeight="false" outlineLevel="0" collapsed="false">
      <c r="A430" s="14"/>
      <c r="B430" s="13"/>
      <c r="C430" s="13"/>
      <c r="D430" s="13"/>
      <c r="E430" s="15"/>
    </row>
    <row r="431" customFormat="false" ht="15" hidden="false" customHeight="false" outlineLevel="0" collapsed="false">
      <c r="A431" s="19"/>
      <c r="B431" s="18"/>
      <c r="C431" s="18"/>
      <c r="D431" s="18"/>
      <c r="E431" s="20"/>
    </row>
    <row r="432" customFormat="false" ht="15" hidden="false" customHeight="false" outlineLevel="0" collapsed="false">
      <c r="A432" s="14"/>
      <c r="B432" s="13"/>
      <c r="C432" s="13"/>
      <c r="D432" s="13"/>
      <c r="E432" s="15"/>
    </row>
    <row r="433" customFormat="false" ht="15" hidden="false" customHeight="false" outlineLevel="0" collapsed="false">
      <c r="A433" s="19"/>
      <c r="B433" s="18"/>
      <c r="C433" s="18"/>
      <c r="D433" s="18"/>
      <c r="E433" s="20"/>
    </row>
    <row r="434" customFormat="false" ht="15" hidden="false" customHeight="false" outlineLevel="0" collapsed="false">
      <c r="A434" s="14"/>
      <c r="B434" s="13"/>
      <c r="C434" s="13"/>
      <c r="D434" s="13"/>
      <c r="E434" s="15"/>
    </row>
    <row r="435" customFormat="false" ht="15" hidden="false" customHeight="false" outlineLevel="0" collapsed="false">
      <c r="A435" s="19"/>
      <c r="B435" s="18"/>
      <c r="C435" s="18"/>
      <c r="D435" s="18"/>
      <c r="E435" s="20"/>
    </row>
    <row r="436" customFormat="false" ht="15" hidden="false" customHeight="false" outlineLevel="0" collapsed="false">
      <c r="A436" s="14"/>
      <c r="B436" s="13"/>
      <c r="C436" s="13"/>
      <c r="D436" s="13"/>
      <c r="E436" s="15"/>
    </row>
    <row r="437" customFormat="false" ht="15" hidden="false" customHeight="false" outlineLevel="0" collapsed="false">
      <c r="A437" s="19"/>
      <c r="B437" s="18"/>
      <c r="C437" s="18"/>
      <c r="D437" s="18"/>
      <c r="E437" s="20"/>
    </row>
    <row r="438" customFormat="false" ht="15" hidden="false" customHeight="false" outlineLevel="0" collapsed="false">
      <c r="A438" s="14"/>
      <c r="B438" s="13"/>
      <c r="C438" s="13"/>
      <c r="D438" s="13"/>
      <c r="E438" s="15"/>
    </row>
    <row r="439" customFormat="false" ht="15" hidden="false" customHeight="false" outlineLevel="0" collapsed="false">
      <c r="A439" s="19"/>
      <c r="B439" s="18"/>
      <c r="C439" s="18"/>
      <c r="D439" s="18"/>
      <c r="E439" s="20"/>
    </row>
    <row r="440" customFormat="false" ht="15" hidden="false" customHeight="false" outlineLevel="0" collapsed="false">
      <c r="A440" s="14"/>
      <c r="B440" s="13"/>
      <c r="C440" s="13"/>
      <c r="D440" s="13"/>
      <c r="E440" s="15"/>
    </row>
    <row r="441" customFormat="false" ht="15" hidden="false" customHeight="false" outlineLevel="0" collapsed="false">
      <c r="A441" s="19"/>
      <c r="B441" s="18"/>
      <c r="C441" s="18"/>
      <c r="D441" s="18"/>
      <c r="E441" s="20"/>
    </row>
    <row r="442" customFormat="false" ht="15" hidden="false" customHeight="false" outlineLevel="0" collapsed="false">
      <c r="A442" s="14"/>
      <c r="B442" s="13"/>
      <c r="C442" s="13"/>
      <c r="D442" s="13"/>
      <c r="E442" s="15"/>
    </row>
    <row r="443" customFormat="false" ht="15" hidden="false" customHeight="false" outlineLevel="0" collapsed="false">
      <c r="A443" s="19"/>
      <c r="B443" s="18"/>
      <c r="C443" s="18"/>
      <c r="D443" s="18"/>
      <c r="E443" s="20"/>
    </row>
    <row r="444" customFormat="false" ht="15" hidden="false" customHeight="false" outlineLevel="0" collapsed="false">
      <c r="A444" s="14"/>
      <c r="B444" s="13"/>
      <c r="C444" s="13"/>
      <c r="D444" s="13"/>
      <c r="E444" s="15"/>
    </row>
    <row r="445" customFormat="false" ht="15" hidden="false" customHeight="false" outlineLevel="0" collapsed="false">
      <c r="A445" s="19"/>
      <c r="B445" s="18"/>
      <c r="C445" s="18"/>
      <c r="D445" s="18"/>
      <c r="E445" s="20"/>
    </row>
    <row r="446" customFormat="false" ht="15" hidden="false" customHeight="false" outlineLevel="0" collapsed="false">
      <c r="A446" s="14"/>
      <c r="B446" s="13"/>
      <c r="C446" s="13"/>
      <c r="D446" s="13"/>
      <c r="E446" s="15"/>
    </row>
    <row r="447" customFormat="false" ht="15" hidden="false" customHeight="false" outlineLevel="0" collapsed="false">
      <c r="A447" s="19"/>
      <c r="B447" s="18"/>
      <c r="C447" s="18"/>
      <c r="D447" s="18"/>
      <c r="E447" s="20"/>
    </row>
    <row r="448" customFormat="false" ht="15" hidden="false" customHeight="false" outlineLevel="0" collapsed="false">
      <c r="A448" s="14"/>
      <c r="B448" s="13"/>
      <c r="C448" s="13"/>
      <c r="D448" s="13"/>
      <c r="E448" s="15"/>
    </row>
    <row r="449" customFormat="false" ht="15" hidden="false" customHeight="false" outlineLevel="0" collapsed="false">
      <c r="A449" s="19"/>
      <c r="B449" s="18"/>
      <c r="C449" s="18"/>
      <c r="D449" s="18"/>
      <c r="E449" s="20"/>
    </row>
    <row r="450" customFormat="false" ht="15" hidden="false" customHeight="false" outlineLevel="0" collapsed="false">
      <c r="A450" s="14"/>
      <c r="B450" s="13"/>
      <c r="C450" s="13"/>
      <c r="D450" s="13"/>
      <c r="E450" s="15"/>
    </row>
    <row r="451" customFormat="false" ht="15" hidden="false" customHeight="false" outlineLevel="0" collapsed="false">
      <c r="A451" s="19"/>
      <c r="B451" s="18"/>
      <c r="C451" s="18"/>
      <c r="D451" s="18"/>
      <c r="E451" s="20"/>
    </row>
    <row r="452" customFormat="false" ht="15" hidden="false" customHeight="false" outlineLevel="0" collapsed="false">
      <c r="A452" s="14"/>
      <c r="B452" s="13"/>
      <c r="C452" s="13"/>
      <c r="D452" s="13"/>
      <c r="E452" s="15"/>
    </row>
    <row r="453" customFormat="false" ht="15" hidden="false" customHeight="false" outlineLevel="0" collapsed="false">
      <c r="A453" s="19"/>
      <c r="B453" s="18"/>
      <c r="C453" s="18"/>
      <c r="D453" s="18"/>
      <c r="E453" s="20"/>
    </row>
    <row r="454" customFormat="false" ht="15" hidden="false" customHeight="false" outlineLevel="0" collapsed="false">
      <c r="A454" s="14"/>
      <c r="B454" s="13"/>
      <c r="C454" s="13"/>
      <c r="D454" s="13"/>
      <c r="E454" s="15"/>
    </row>
    <row r="455" customFormat="false" ht="15" hidden="false" customHeight="false" outlineLevel="0" collapsed="false">
      <c r="A455" s="19"/>
      <c r="B455" s="18"/>
      <c r="C455" s="18"/>
      <c r="D455" s="18"/>
      <c r="E455" s="20"/>
    </row>
    <row r="456" customFormat="false" ht="15" hidden="false" customHeight="false" outlineLevel="0" collapsed="false">
      <c r="A456" s="14"/>
      <c r="B456" s="13"/>
      <c r="C456" s="13"/>
      <c r="D456" s="13"/>
      <c r="E456" s="15"/>
    </row>
    <row r="457" customFormat="false" ht="15" hidden="false" customHeight="false" outlineLevel="0" collapsed="false">
      <c r="A457" s="19"/>
      <c r="B457" s="18"/>
      <c r="C457" s="18"/>
      <c r="D457" s="18"/>
      <c r="E457" s="20"/>
    </row>
    <row r="458" customFormat="false" ht="15" hidden="false" customHeight="false" outlineLevel="0" collapsed="false">
      <c r="A458" s="14"/>
      <c r="B458" s="13"/>
      <c r="C458" s="13"/>
      <c r="D458" s="13"/>
      <c r="E458" s="15"/>
    </row>
    <row r="459" customFormat="false" ht="15" hidden="false" customHeight="false" outlineLevel="0" collapsed="false">
      <c r="A459" s="19"/>
      <c r="B459" s="18"/>
      <c r="C459" s="18"/>
      <c r="D459" s="18"/>
      <c r="E459" s="20"/>
    </row>
    <row r="460" customFormat="false" ht="15" hidden="false" customHeight="false" outlineLevel="0" collapsed="false">
      <c r="A460" s="14"/>
      <c r="B460" s="13"/>
      <c r="C460" s="13"/>
      <c r="D460" s="13"/>
      <c r="E460" s="15"/>
    </row>
    <row r="461" customFormat="false" ht="15" hidden="false" customHeight="false" outlineLevel="0" collapsed="false">
      <c r="A461" s="19"/>
      <c r="B461" s="18"/>
      <c r="C461" s="18"/>
      <c r="D461" s="18"/>
      <c r="E461" s="20"/>
    </row>
    <row r="462" customFormat="false" ht="15" hidden="false" customHeight="false" outlineLevel="0" collapsed="false">
      <c r="A462" s="14"/>
      <c r="B462" s="13"/>
      <c r="C462" s="13"/>
      <c r="D462" s="13"/>
      <c r="E462" s="15"/>
    </row>
    <row r="463" customFormat="false" ht="15" hidden="false" customHeight="false" outlineLevel="0" collapsed="false">
      <c r="A463" s="19"/>
      <c r="B463" s="18"/>
      <c r="C463" s="18"/>
      <c r="D463" s="18"/>
      <c r="E463" s="20"/>
    </row>
    <row r="464" customFormat="false" ht="15" hidden="false" customHeight="false" outlineLevel="0" collapsed="false">
      <c r="A464" s="14"/>
      <c r="B464" s="13"/>
      <c r="C464" s="13"/>
      <c r="D464" s="13"/>
      <c r="E464" s="15"/>
    </row>
    <row r="465" customFormat="false" ht="15" hidden="false" customHeight="false" outlineLevel="0" collapsed="false">
      <c r="A465" s="19"/>
      <c r="B465" s="18"/>
      <c r="C465" s="18"/>
      <c r="D465" s="18"/>
      <c r="E465" s="20"/>
    </row>
    <row r="466" customFormat="false" ht="15" hidden="false" customHeight="false" outlineLevel="0" collapsed="false">
      <c r="A466" s="14"/>
      <c r="B466" s="13"/>
      <c r="C466" s="13"/>
      <c r="D466" s="13"/>
      <c r="E466" s="15"/>
    </row>
    <row r="467" customFormat="false" ht="15" hidden="false" customHeight="false" outlineLevel="0" collapsed="false">
      <c r="A467" s="19"/>
      <c r="B467" s="18"/>
      <c r="C467" s="18"/>
      <c r="D467" s="18"/>
      <c r="E467" s="20"/>
    </row>
    <row r="468" customFormat="false" ht="15" hidden="false" customHeight="false" outlineLevel="0" collapsed="false">
      <c r="A468" s="14"/>
      <c r="B468" s="13"/>
      <c r="C468" s="13"/>
      <c r="D468" s="13"/>
      <c r="E468" s="15"/>
    </row>
    <row r="469" customFormat="false" ht="15" hidden="false" customHeight="false" outlineLevel="0" collapsed="false">
      <c r="A469" s="19"/>
      <c r="B469" s="18"/>
      <c r="C469" s="18"/>
      <c r="D469" s="18"/>
      <c r="E469" s="20"/>
    </row>
    <row r="470" customFormat="false" ht="15" hidden="false" customHeight="false" outlineLevel="0" collapsed="false">
      <c r="A470" s="14"/>
      <c r="B470" s="13"/>
      <c r="C470" s="13"/>
      <c r="D470" s="13"/>
      <c r="E470" s="15"/>
    </row>
    <row r="471" customFormat="false" ht="15" hidden="false" customHeight="false" outlineLevel="0" collapsed="false">
      <c r="A471" s="19"/>
      <c r="B471" s="18"/>
      <c r="C471" s="18"/>
      <c r="D471" s="18"/>
      <c r="E471" s="20"/>
    </row>
    <row r="472" customFormat="false" ht="15" hidden="false" customHeight="false" outlineLevel="0" collapsed="false">
      <c r="A472" s="14"/>
      <c r="B472" s="13"/>
      <c r="C472" s="13"/>
      <c r="D472" s="13"/>
      <c r="E472" s="15"/>
    </row>
    <row r="473" customFormat="false" ht="15" hidden="false" customHeight="false" outlineLevel="0" collapsed="false">
      <c r="A473" s="19"/>
      <c r="B473" s="18"/>
      <c r="C473" s="18"/>
      <c r="D473" s="18"/>
      <c r="E473" s="20"/>
    </row>
    <row r="474" customFormat="false" ht="15" hidden="false" customHeight="false" outlineLevel="0" collapsed="false">
      <c r="A474" s="14"/>
      <c r="B474" s="13"/>
      <c r="C474" s="13"/>
      <c r="D474" s="13"/>
      <c r="E474" s="15"/>
    </row>
    <row r="475" customFormat="false" ht="15" hidden="false" customHeight="false" outlineLevel="0" collapsed="false">
      <c r="A475" s="19"/>
      <c r="B475" s="18"/>
      <c r="C475" s="18"/>
      <c r="D475" s="18"/>
      <c r="E475" s="20"/>
    </row>
    <row r="476" customFormat="false" ht="15" hidden="false" customHeight="false" outlineLevel="0" collapsed="false">
      <c r="A476" s="14"/>
      <c r="B476" s="13"/>
      <c r="C476" s="13"/>
      <c r="D476" s="13"/>
      <c r="E476" s="15"/>
    </row>
    <row r="477" customFormat="false" ht="15" hidden="false" customHeight="false" outlineLevel="0" collapsed="false">
      <c r="A477" s="19"/>
      <c r="B477" s="18"/>
      <c r="C477" s="18"/>
      <c r="D477" s="18"/>
      <c r="E477" s="20"/>
    </row>
    <row r="478" customFormat="false" ht="15" hidden="false" customHeight="false" outlineLevel="0" collapsed="false">
      <c r="A478" s="14"/>
      <c r="B478" s="13"/>
      <c r="C478" s="13"/>
      <c r="D478" s="13"/>
      <c r="E478" s="15"/>
    </row>
    <row r="479" customFormat="false" ht="15" hidden="false" customHeight="false" outlineLevel="0" collapsed="false">
      <c r="A479" s="19"/>
      <c r="B479" s="18"/>
      <c r="C479" s="18"/>
      <c r="D479" s="18"/>
      <c r="E479" s="20"/>
    </row>
    <row r="480" customFormat="false" ht="15" hidden="false" customHeight="false" outlineLevel="0" collapsed="false">
      <c r="A480" s="14"/>
      <c r="B480" s="13"/>
      <c r="C480" s="13"/>
      <c r="D480" s="13"/>
      <c r="E480" s="15"/>
    </row>
    <row r="481" customFormat="false" ht="15" hidden="false" customHeight="false" outlineLevel="0" collapsed="false">
      <c r="A481" s="19"/>
      <c r="B481" s="18"/>
      <c r="C481" s="18"/>
      <c r="D481" s="18"/>
      <c r="E481" s="20"/>
    </row>
    <row r="482" customFormat="false" ht="15" hidden="false" customHeight="false" outlineLevel="0" collapsed="false">
      <c r="A482" s="14"/>
      <c r="B482" s="13"/>
      <c r="C482" s="13"/>
      <c r="D482" s="13"/>
      <c r="E482" s="15"/>
    </row>
    <row r="483" customFormat="false" ht="15" hidden="false" customHeight="false" outlineLevel="0" collapsed="false">
      <c r="A483" s="19"/>
      <c r="B483" s="18"/>
      <c r="C483" s="18"/>
      <c r="D483" s="18"/>
      <c r="E483" s="20"/>
    </row>
    <row r="484" customFormat="false" ht="15" hidden="false" customHeight="false" outlineLevel="0" collapsed="false">
      <c r="A484" s="14"/>
      <c r="B484" s="13"/>
      <c r="C484" s="13"/>
      <c r="D484" s="13"/>
      <c r="E484" s="15"/>
    </row>
    <row r="485" customFormat="false" ht="15" hidden="false" customHeight="false" outlineLevel="0" collapsed="false">
      <c r="A485" s="19"/>
      <c r="B485" s="18"/>
      <c r="C485" s="18"/>
      <c r="D485" s="18"/>
      <c r="E485" s="20"/>
    </row>
    <row r="486" customFormat="false" ht="15" hidden="false" customHeight="false" outlineLevel="0" collapsed="false">
      <c r="A486" s="14"/>
      <c r="B486" s="13"/>
      <c r="C486" s="13"/>
      <c r="D486" s="13"/>
      <c r="E486" s="15"/>
    </row>
    <row r="487" customFormat="false" ht="15" hidden="false" customHeight="false" outlineLevel="0" collapsed="false">
      <c r="A487" s="19"/>
      <c r="B487" s="18"/>
      <c r="C487" s="18"/>
      <c r="D487" s="18"/>
      <c r="E487" s="20"/>
    </row>
    <row r="488" customFormat="false" ht="15" hidden="false" customHeight="false" outlineLevel="0" collapsed="false">
      <c r="A488" s="14"/>
      <c r="B488" s="13"/>
      <c r="C488" s="13"/>
      <c r="D488" s="13"/>
      <c r="E488" s="15"/>
    </row>
    <row r="489" customFormat="false" ht="15" hidden="false" customHeight="false" outlineLevel="0" collapsed="false">
      <c r="A489" s="19"/>
      <c r="B489" s="18"/>
      <c r="C489" s="18"/>
      <c r="D489" s="18"/>
      <c r="E489" s="20"/>
    </row>
    <row r="490" customFormat="false" ht="15" hidden="false" customHeight="false" outlineLevel="0" collapsed="false">
      <c r="A490" s="14"/>
      <c r="B490" s="13"/>
      <c r="C490" s="13"/>
      <c r="D490" s="13"/>
      <c r="E490" s="15"/>
    </row>
    <row r="491" customFormat="false" ht="15" hidden="false" customHeight="false" outlineLevel="0" collapsed="false">
      <c r="A491" s="19"/>
      <c r="B491" s="18"/>
      <c r="C491" s="18"/>
      <c r="D491" s="18"/>
      <c r="E491" s="20"/>
    </row>
    <row r="492" customFormat="false" ht="15" hidden="false" customHeight="false" outlineLevel="0" collapsed="false">
      <c r="A492" s="14"/>
      <c r="B492" s="13"/>
      <c r="C492" s="13"/>
      <c r="D492" s="13"/>
      <c r="E492" s="15"/>
    </row>
    <row r="493" customFormat="false" ht="15" hidden="false" customHeight="false" outlineLevel="0" collapsed="false">
      <c r="A493" s="19"/>
      <c r="B493" s="18"/>
      <c r="C493" s="18"/>
      <c r="D493" s="18"/>
      <c r="E493" s="20"/>
    </row>
    <row r="494" customFormat="false" ht="15" hidden="false" customHeight="false" outlineLevel="0" collapsed="false">
      <c r="A494" s="14"/>
      <c r="B494" s="13"/>
      <c r="C494" s="13"/>
      <c r="D494" s="13"/>
      <c r="E494" s="15"/>
    </row>
    <row r="495" customFormat="false" ht="15" hidden="false" customHeight="false" outlineLevel="0" collapsed="false">
      <c r="A495" s="19"/>
      <c r="B495" s="18"/>
      <c r="C495" s="18"/>
      <c r="D495" s="18"/>
      <c r="E495" s="20"/>
    </row>
    <row r="496" customFormat="false" ht="15" hidden="false" customHeight="false" outlineLevel="0" collapsed="false">
      <c r="A496" s="14"/>
      <c r="B496" s="13"/>
      <c r="C496" s="13"/>
      <c r="D496" s="13"/>
      <c r="E496" s="15"/>
    </row>
    <row r="497" customFormat="false" ht="15" hidden="false" customHeight="false" outlineLevel="0" collapsed="false">
      <c r="A497" s="19"/>
      <c r="B497" s="18"/>
      <c r="C497" s="18"/>
      <c r="D497" s="18"/>
      <c r="E497" s="20"/>
    </row>
    <row r="498" customFormat="false" ht="15" hidden="false" customHeight="false" outlineLevel="0" collapsed="false">
      <c r="A498" s="14"/>
      <c r="B498" s="13"/>
      <c r="C498" s="13"/>
      <c r="D498" s="13"/>
      <c r="E498" s="15"/>
    </row>
    <row r="499" customFormat="false" ht="15" hidden="false" customHeight="false" outlineLevel="0" collapsed="false">
      <c r="A499" s="19"/>
      <c r="B499" s="18"/>
      <c r="C499" s="18"/>
      <c r="D499" s="18"/>
      <c r="E499" s="20"/>
    </row>
    <row r="500" customFormat="false" ht="15" hidden="false" customHeight="false" outlineLevel="0" collapsed="false">
      <c r="A500" s="14"/>
      <c r="B500" s="13"/>
      <c r="C500" s="13"/>
      <c r="D500" s="13"/>
      <c r="E500" s="15"/>
    </row>
    <row r="501" customFormat="false" ht="15" hidden="false" customHeight="false" outlineLevel="0" collapsed="false">
      <c r="A501" s="19"/>
      <c r="B501" s="18"/>
      <c r="C501" s="18"/>
      <c r="D501" s="18"/>
      <c r="E501" s="20"/>
    </row>
    <row r="502" customFormat="false" ht="15" hidden="false" customHeight="false" outlineLevel="0" collapsed="false">
      <c r="A502" s="14"/>
      <c r="B502" s="13"/>
      <c r="C502" s="13"/>
      <c r="D502" s="13"/>
      <c r="E502" s="15"/>
    </row>
    <row r="503" customFormat="false" ht="15" hidden="false" customHeight="false" outlineLevel="0" collapsed="false">
      <c r="A503" s="19"/>
      <c r="B503" s="18"/>
      <c r="C503" s="18"/>
      <c r="D503" s="18"/>
      <c r="E503" s="20"/>
    </row>
    <row r="504" customFormat="false" ht="15" hidden="false" customHeight="false" outlineLevel="0" collapsed="false">
      <c r="A504" s="14"/>
      <c r="B504" s="13"/>
      <c r="C504" s="13"/>
      <c r="D504" s="13"/>
      <c r="E504" s="15"/>
    </row>
    <row r="505" customFormat="false" ht="15" hidden="false" customHeight="false" outlineLevel="0" collapsed="false">
      <c r="A505" s="19"/>
      <c r="B505" s="18"/>
      <c r="C505" s="18"/>
      <c r="D505" s="18"/>
      <c r="E505" s="20"/>
    </row>
    <row r="506" customFormat="false" ht="15" hidden="false" customHeight="false" outlineLevel="0" collapsed="false">
      <c r="A506" s="14"/>
      <c r="B506" s="13"/>
      <c r="C506" s="13"/>
      <c r="D506" s="13"/>
      <c r="E506" s="15"/>
    </row>
    <row r="507" customFormat="false" ht="15" hidden="false" customHeight="false" outlineLevel="0" collapsed="false">
      <c r="A507" s="19"/>
      <c r="B507" s="18"/>
      <c r="C507" s="18"/>
      <c r="D507" s="18"/>
      <c r="E507" s="20"/>
    </row>
    <row r="508" customFormat="false" ht="15" hidden="false" customHeight="false" outlineLevel="0" collapsed="false">
      <c r="A508" s="14"/>
      <c r="B508" s="13"/>
      <c r="C508" s="13"/>
      <c r="D508" s="13"/>
      <c r="E508" s="15"/>
    </row>
    <row r="509" customFormat="false" ht="15" hidden="false" customHeight="false" outlineLevel="0" collapsed="false">
      <c r="A509" s="19"/>
      <c r="B509" s="18"/>
      <c r="C509" s="18"/>
      <c r="D509" s="18"/>
      <c r="E509" s="20"/>
    </row>
    <row r="510" customFormat="false" ht="15" hidden="false" customHeight="false" outlineLevel="0" collapsed="false">
      <c r="A510" s="14"/>
      <c r="B510" s="13"/>
      <c r="C510" s="13"/>
      <c r="D510" s="13"/>
      <c r="E510" s="15"/>
    </row>
    <row r="511" customFormat="false" ht="15" hidden="false" customHeight="false" outlineLevel="0" collapsed="false">
      <c r="A511" s="19"/>
      <c r="B511" s="18"/>
      <c r="C511" s="18"/>
      <c r="D511" s="18"/>
      <c r="E511" s="20"/>
    </row>
    <row r="512" customFormat="false" ht="15" hidden="false" customHeight="false" outlineLevel="0" collapsed="false">
      <c r="A512" s="14"/>
      <c r="B512" s="13"/>
      <c r="C512" s="13"/>
      <c r="D512" s="13"/>
      <c r="E512" s="15"/>
    </row>
    <row r="513" customFormat="false" ht="15" hidden="false" customHeight="false" outlineLevel="0" collapsed="false">
      <c r="A513" s="19"/>
      <c r="B513" s="18"/>
      <c r="C513" s="18"/>
      <c r="D513" s="18"/>
      <c r="E513" s="20"/>
    </row>
    <row r="514" customFormat="false" ht="15" hidden="false" customHeight="false" outlineLevel="0" collapsed="false">
      <c r="A514" s="14"/>
      <c r="B514" s="13"/>
      <c r="C514" s="13"/>
      <c r="D514" s="13"/>
      <c r="E514" s="15"/>
    </row>
    <row r="515" customFormat="false" ht="15" hidden="false" customHeight="false" outlineLevel="0" collapsed="false">
      <c r="A515" s="19"/>
      <c r="B515" s="18"/>
      <c r="C515" s="18"/>
      <c r="D515" s="18"/>
      <c r="E515" s="20"/>
    </row>
    <row r="516" customFormat="false" ht="15" hidden="false" customHeight="false" outlineLevel="0" collapsed="false">
      <c r="A516" s="14"/>
      <c r="B516" s="13"/>
      <c r="C516" s="13"/>
      <c r="D516" s="13"/>
      <c r="E516" s="15"/>
    </row>
    <row r="517" customFormat="false" ht="15" hidden="false" customHeight="false" outlineLevel="0" collapsed="false">
      <c r="A517" s="19"/>
      <c r="B517" s="18"/>
      <c r="C517" s="18"/>
      <c r="D517" s="18"/>
      <c r="E517" s="20"/>
    </row>
    <row r="518" customFormat="false" ht="15" hidden="false" customHeight="false" outlineLevel="0" collapsed="false">
      <c r="A518" s="14"/>
      <c r="B518" s="13"/>
      <c r="C518" s="13"/>
      <c r="D518" s="13"/>
      <c r="E518" s="15"/>
    </row>
    <row r="519" customFormat="false" ht="15" hidden="false" customHeight="false" outlineLevel="0" collapsed="false">
      <c r="A519" s="19"/>
      <c r="B519" s="18"/>
      <c r="C519" s="18"/>
      <c r="D519" s="18"/>
      <c r="E519" s="20"/>
    </row>
    <row r="520" customFormat="false" ht="15" hidden="false" customHeight="false" outlineLevel="0" collapsed="false">
      <c r="A520" s="14"/>
      <c r="B520" s="13"/>
      <c r="C520" s="13"/>
      <c r="D520" s="13"/>
      <c r="E520" s="15"/>
    </row>
    <row r="521" customFormat="false" ht="15" hidden="false" customHeight="false" outlineLevel="0" collapsed="false">
      <c r="A521" s="19"/>
      <c r="B521" s="18"/>
      <c r="C521" s="18"/>
      <c r="D521" s="18"/>
      <c r="E521" s="20"/>
    </row>
    <row r="522" customFormat="false" ht="15" hidden="false" customHeight="false" outlineLevel="0" collapsed="false">
      <c r="A522" s="14"/>
      <c r="B522" s="13"/>
      <c r="C522" s="13"/>
      <c r="D522" s="13"/>
      <c r="E522" s="15"/>
    </row>
    <row r="523" customFormat="false" ht="15" hidden="false" customHeight="false" outlineLevel="0" collapsed="false">
      <c r="A523" s="19"/>
      <c r="B523" s="18"/>
      <c r="C523" s="18"/>
      <c r="D523" s="18"/>
      <c r="E523" s="20"/>
    </row>
    <row r="524" customFormat="false" ht="15" hidden="false" customHeight="false" outlineLevel="0" collapsed="false">
      <c r="A524" s="14"/>
      <c r="B524" s="13"/>
      <c r="C524" s="13"/>
      <c r="D524" s="13"/>
      <c r="E524" s="15"/>
    </row>
    <row r="525" customFormat="false" ht="15" hidden="false" customHeight="false" outlineLevel="0" collapsed="false">
      <c r="A525" s="19"/>
      <c r="B525" s="18"/>
      <c r="C525" s="18"/>
      <c r="D525" s="18"/>
      <c r="E525" s="20"/>
    </row>
    <row r="526" customFormat="false" ht="15" hidden="false" customHeight="false" outlineLevel="0" collapsed="false">
      <c r="A526" s="14"/>
      <c r="B526" s="13"/>
      <c r="C526" s="13"/>
      <c r="D526" s="13"/>
      <c r="E526" s="15"/>
    </row>
    <row r="527" customFormat="false" ht="15" hidden="false" customHeight="false" outlineLevel="0" collapsed="false">
      <c r="A527" s="19"/>
      <c r="B527" s="18"/>
      <c r="C527" s="18"/>
      <c r="D527" s="18"/>
      <c r="E527" s="20"/>
    </row>
    <row r="528" customFormat="false" ht="15" hidden="false" customHeight="false" outlineLevel="0" collapsed="false">
      <c r="A528" s="14"/>
      <c r="B528" s="13"/>
      <c r="C528" s="13"/>
      <c r="D528" s="13"/>
      <c r="E528" s="15"/>
    </row>
    <row r="529" customFormat="false" ht="15" hidden="false" customHeight="false" outlineLevel="0" collapsed="false">
      <c r="A529" s="19"/>
      <c r="B529" s="18"/>
      <c r="C529" s="18"/>
      <c r="D529" s="18"/>
      <c r="E529" s="20"/>
    </row>
    <row r="530" customFormat="false" ht="15" hidden="false" customHeight="false" outlineLevel="0" collapsed="false">
      <c r="A530" s="14"/>
      <c r="B530" s="13"/>
      <c r="C530" s="13"/>
      <c r="D530" s="13"/>
      <c r="E530" s="15"/>
    </row>
    <row r="531" customFormat="false" ht="15" hidden="false" customHeight="false" outlineLevel="0" collapsed="false">
      <c r="A531" s="19"/>
      <c r="B531" s="18"/>
      <c r="C531" s="18"/>
      <c r="D531" s="18"/>
      <c r="E531" s="20"/>
    </row>
    <row r="532" customFormat="false" ht="15" hidden="false" customHeight="false" outlineLevel="0" collapsed="false">
      <c r="A532" s="14"/>
      <c r="B532" s="13"/>
      <c r="C532" s="13"/>
      <c r="D532" s="13"/>
      <c r="E532" s="15"/>
    </row>
    <row r="533" customFormat="false" ht="15" hidden="false" customHeight="false" outlineLevel="0" collapsed="false">
      <c r="A533" s="19"/>
      <c r="B533" s="18"/>
      <c r="C533" s="18"/>
      <c r="D533" s="18"/>
      <c r="E533" s="20"/>
    </row>
    <row r="534" customFormat="false" ht="15" hidden="false" customHeight="false" outlineLevel="0" collapsed="false">
      <c r="A534" s="14"/>
      <c r="B534" s="13"/>
      <c r="C534" s="13"/>
      <c r="D534" s="13"/>
      <c r="E534" s="15"/>
    </row>
    <row r="535" customFormat="false" ht="15" hidden="false" customHeight="false" outlineLevel="0" collapsed="false">
      <c r="A535" s="19"/>
      <c r="B535" s="18"/>
      <c r="C535" s="18"/>
      <c r="D535" s="18"/>
      <c r="E535" s="20"/>
    </row>
    <row r="536" customFormat="false" ht="15" hidden="false" customHeight="false" outlineLevel="0" collapsed="false">
      <c r="A536" s="14"/>
      <c r="B536" s="13"/>
      <c r="C536" s="13"/>
      <c r="D536" s="13"/>
      <c r="E536" s="15"/>
    </row>
    <row r="537" customFormat="false" ht="15" hidden="false" customHeight="false" outlineLevel="0" collapsed="false">
      <c r="A537" s="19"/>
      <c r="B537" s="18"/>
      <c r="C537" s="18"/>
      <c r="D537" s="18"/>
      <c r="E537" s="20"/>
    </row>
    <row r="538" customFormat="false" ht="15" hidden="false" customHeight="false" outlineLevel="0" collapsed="false">
      <c r="A538" s="14"/>
      <c r="B538" s="13"/>
      <c r="C538" s="13"/>
      <c r="D538" s="13"/>
      <c r="E538" s="15"/>
    </row>
    <row r="539" customFormat="false" ht="15" hidden="false" customHeight="false" outlineLevel="0" collapsed="false">
      <c r="A539" s="19"/>
      <c r="B539" s="18"/>
      <c r="C539" s="18"/>
      <c r="D539" s="18"/>
      <c r="E539" s="20"/>
    </row>
    <row r="540" customFormat="false" ht="15" hidden="false" customHeight="false" outlineLevel="0" collapsed="false">
      <c r="A540" s="14"/>
      <c r="B540" s="13"/>
      <c r="C540" s="13"/>
      <c r="D540" s="13"/>
      <c r="E540" s="15"/>
    </row>
    <row r="541" customFormat="false" ht="15" hidden="false" customHeight="false" outlineLevel="0" collapsed="false">
      <c r="A541" s="19"/>
      <c r="B541" s="18"/>
      <c r="C541" s="18"/>
      <c r="D541" s="18"/>
      <c r="E541" s="20"/>
    </row>
    <row r="542" customFormat="false" ht="15" hidden="false" customHeight="false" outlineLevel="0" collapsed="false">
      <c r="A542" s="14"/>
      <c r="B542" s="13"/>
      <c r="C542" s="13"/>
      <c r="D542" s="13"/>
      <c r="E542" s="15"/>
    </row>
    <row r="543" customFormat="false" ht="15" hidden="false" customHeight="false" outlineLevel="0" collapsed="false">
      <c r="A543" s="19"/>
      <c r="B543" s="18"/>
      <c r="C543" s="18"/>
      <c r="D543" s="18"/>
      <c r="E543" s="20"/>
    </row>
    <row r="544" customFormat="false" ht="15" hidden="false" customHeight="false" outlineLevel="0" collapsed="false">
      <c r="A544" s="14"/>
      <c r="B544" s="13"/>
      <c r="C544" s="13"/>
      <c r="D544" s="13"/>
      <c r="E544" s="15"/>
    </row>
    <row r="545" customFormat="false" ht="15" hidden="false" customHeight="false" outlineLevel="0" collapsed="false">
      <c r="A545" s="19"/>
      <c r="B545" s="18"/>
      <c r="C545" s="18"/>
      <c r="D545" s="18"/>
      <c r="E545" s="20"/>
    </row>
    <row r="546" customFormat="false" ht="15" hidden="false" customHeight="false" outlineLevel="0" collapsed="false">
      <c r="A546" s="14"/>
      <c r="B546" s="13"/>
      <c r="C546" s="13"/>
      <c r="D546" s="13"/>
      <c r="E546" s="15"/>
    </row>
    <row r="547" customFormat="false" ht="15" hidden="false" customHeight="false" outlineLevel="0" collapsed="false">
      <c r="A547" s="19"/>
      <c r="B547" s="18"/>
      <c r="C547" s="18"/>
      <c r="D547" s="18"/>
      <c r="E547" s="20"/>
    </row>
    <row r="548" customFormat="false" ht="15" hidden="false" customHeight="false" outlineLevel="0" collapsed="false">
      <c r="A548" s="14"/>
      <c r="B548" s="13"/>
      <c r="C548" s="13"/>
      <c r="D548" s="13"/>
      <c r="E548" s="15"/>
    </row>
    <row r="549" customFormat="false" ht="15" hidden="false" customHeight="false" outlineLevel="0" collapsed="false">
      <c r="A549" s="19"/>
      <c r="B549" s="18"/>
      <c r="C549" s="18"/>
      <c r="D549" s="18"/>
      <c r="E549" s="20"/>
    </row>
    <row r="550" customFormat="false" ht="15" hidden="false" customHeight="false" outlineLevel="0" collapsed="false">
      <c r="A550" s="14"/>
      <c r="B550" s="13"/>
      <c r="C550" s="13"/>
      <c r="D550" s="13"/>
      <c r="E550" s="15"/>
    </row>
    <row r="551" customFormat="false" ht="15" hidden="false" customHeight="false" outlineLevel="0" collapsed="false">
      <c r="A551" s="19"/>
      <c r="B551" s="18"/>
      <c r="C551" s="18"/>
      <c r="D551" s="18"/>
      <c r="E551" s="20"/>
    </row>
    <row r="552" customFormat="false" ht="15" hidden="false" customHeight="false" outlineLevel="0" collapsed="false">
      <c r="A552" s="14"/>
      <c r="B552" s="13"/>
      <c r="C552" s="13"/>
      <c r="D552" s="13"/>
      <c r="E552" s="15"/>
    </row>
    <row r="553" customFormat="false" ht="15" hidden="false" customHeight="false" outlineLevel="0" collapsed="false">
      <c r="A553" s="19"/>
      <c r="B553" s="18"/>
      <c r="C553" s="18"/>
      <c r="D553" s="18"/>
      <c r="E553" s="20"/>
    </row>
    <row r="554" customFormat="false" ht="15" hidden="false" customHeight="false" outlineLevel="0" collapsed="false">
      <c r="A554" s="14"/>
      <c r="B554" s="13"/>
      <c r="C554" s="13"/>
      <c r="D554" s="13"/>
      <c r="E554" s="15"/>
    </row>
    <row r="555" customFormat="false" ht="15" hidden="false" customHeight="false" outlineLevel="0" collapsed="false">
      <c r="A555" s="19"/>
      <c r="B555" s="18"/>
      <c r="C555" s="18"/>
      <c r="D555" s="18"/>
      <c r="E555" s="20"/>
    </row>
    <row r="556" customFormat="false" ht="15" hidden="false" customHeight="false" outlineLevel="0" collapsed="false">
      <c r="A556" s="14"/>
      <c r="B556" s="13"/>
      <c r="C556" s="13"/>
      <c r="D556" s="13"/>
      <c r="E556" s="15"/>
    </row>
    <row r="557" customFormat="false" ht="15" hidden="false" customHeight="false" outlineLevel="0" collapsed="false">
      <c r="A557" s="19"/>
      <c r="B557" s="18"/>
      <c r="C557" s="18"/>
      <c r="D557" s="18"/>
      <c r="E557" s="20"/>
    </row>
    <row r="558" customFormat="false" ht="15" hidden="false" customHeight="false" outlineLevel="0" collapsed="false">
      <c r="A558" s="14"/>
      <c r="B558" s="13"/>
      <c r="C558" s="13"/>
      <c r="D558" s="13"/>
      <c r="E558" s="15"/>
    </row>
    <row r="559" customFormat="false" ht="15" hidden="false" customHeight="false" outlineLevel="0" collapsed="false">
      <c r="A559" s="19"/>
      <c r="B559" s="18"/>
      <c r="C559" s="18"/>
      <c r="D559" s="18"/>
      <c r="E559" s="20"/>
    </row>
    <row r="560" customFormat="false" ht="15" hidden="false" customHeight="false" outlineLevel="0" collapsed="false">
      <c r="A560" s="14"/>
      <c r="B560" s="13"/>
      <c r="C560" s="13"/>
      <c r="D560" s="13"/>
      <c r="E560" s="15"/>
    </row>
    <row r="561" customFormat="false" ht="15" hidden="false" customHeight="false" outlineLevel="0" collapsed="false">
      <c r="A561" s="19"/>
      <c r="B561" s="18"/>
      <c r="C561" s="18"/>
      <c r="D561" s="18"/>
      <c r="E561" s="20"/>
    </row>
    <row r="562" customFormat="false" ht="15" hidden="false" customHeight="false" outlineLevel="0" collapsed="false">
      <c r="A562" s="14"/>
      <c r="B562" s="13"/>
      <c r="C562" s="13"/>
      <c r="D562" s="13"/>
      <c r="E562" s="15"/>
    </row>
    <row r="563" customFormat="false" ht="15" hidden="false" customHeight="false" outlineLevel="0" collapsed="false">
      <c r="A563" s="19"/>
      <c r="B563" s="18"/>
      <c r="C563" s="18"/>
      <c r="D563" s="18"/>
      <c r="E563" s="20"/>
    </row>
    <row r="564" customFormat="false" ht="15" hidden="false" customHeight="false" outlineLevel="0" collapsed="false">
      <c r="A564" s="14"/>
      <c r="B564" s="13"/>
      <c r="C564" s="13"/>
      <c r="D564" s="13"/>
      <c r="E564" s="15"/>
    </row>
    <row r="565" customFormat="false" ht="15" hidden="false" customHeight="false" outlineLevel="0" collapsed="false">
      <c r="A565" s="19"/>
      <c r="B565" s="18"/>
      <c r="C565" s="18"/>
      <c r="D565" s="18"/>
      <c r="E565" s="20"/>
    </row>
    <row r="566" customFormat="false" ht="15" hidden="false" customHeight="false" outlineLevel="0" collapsed="false">
      <c r="A566" s="14"/>
      <c r="B566" s="13"/>
      <c r="C566" s="13"/>
      <c r="D566" s="13"/>
      <c r="E566" s="15"/>
    </row>
    <row r="567" customFormat="false" ht="15" hidden="false" customHeight="false" outlineLevel="0" collapsed="false">
      <c r="A567" s="19"/>
      <c r="B567" s="18"/>
      <c r="C567" s="18"/>
      <c r="D567" s="18"/>
      <c r="E567" s="20"/>
    </row>
    <row r="568" customFormat="false" ht="15" hidden="false" customHeight="false" outlineLevel="0" collapsed="false">
      <c r="A568" s="14"/>
      <c r="B568" s="13"/>
      <c r="C568" s="13"/>
      <c r="D568" s="13"/>
      <c r="E568" s="15"/>
    </row>
    <row r="569" customFormat="false" ht="15" hidden="false" customHeight="false" outlineLevel="0" collapsed="false">
      <c r="A569" s="19"/>
      <c r="B569" s="18"/>
      <c r="C569" s="18"/>
      <c r="D569" s="18"/>
      <c r="E569" s="20"/>
    </row>
    <row r="570" customFormat="false" ht="15" hidden="false" customHeight="false" outlineLevel="0" collapsed="false">
      <c r="A570" s="14"/>
      <c r="B570" s="13"/>
      <c r="C570" s="13"/>
      <c r="D570" s="13"/>
      <c r="E570" s="15"/>
    </row>
    <row r="571" customFormat="false" ht="15" hidden="false" customHeight="false" outlineLevel="0" collapsed="false">
      <c r="A571" s="19"/>
      <c r="B571" s="18"/>
      <c r="C571" s="18"/>
      <c r="D571" s="18"/>
      <c r="E571" s="20"/>
    </row>
    <row r="572" customFormat="false" ht="15" hidden="false" customHeight="false" outlineLevel="0" collapsed="false">
      <c r="A572" s="14"/>
      <c r="B572" s="13"/>
      <c r="C572" s="13"/>
      <c r="D572" s="13"/>
      <c r="E572" s="15"/>
    </row>
    <row r="573" customFormat="false" ht="15" hidden="false" customHeight="false" outlineLevel="0" collapsed="false">
      <c r="A573" s="19"/>
      <c r="B573" s="18"/>
      <c r="C573" s="18"/>
      <c r="D573" s="18"/>
      <c r="E573" s="20"/>
    </row>
    <row r="574" customFormat="false" ht="15" hidden="false" customHeight="false" outlineLevel="0" collapsed="false">
      <c r="A574" s="14"/>
      <c r="B574" s="13"/>
      <c r="C574" s="13"/>
      <c r="D574" s="13"/>
      <c r="E574" s="15"/>
    </row>
    <row r="575" customFormat="false" ht="15" hidden="false" customHeight="false" outlineLevel="0" collapsed="false">
      <c r="A575" s="19"/>
      <c r="B575" s="18"/>
      <c r="C575" s="18"/>
      <c r="D575" s="18"/>
      <c r="E575" s="20"/>
    </row>
    <row r="576" customFormat="false" ht="15" hidden="false" customHeight="false" outlineLevel="0" collapsed="false">
      <c r="A576" s="14"/>
      <c r="B576" s="13"/>
      <c r="C576" s="13"/>
      <c r="D576" s="13"/>
      <c r="E576" s="15"/>
    </row>
    <row r="577" customFormat="false" ht="15" hidden="false" customHeight="false" outlineLevel="0" collapsed="false">
      <c r="A577" s="19"/>
      <c r="B577" s="18"/>
      <c r="C577" s="18"/>
      <c r="D577" s="18"/>
      <c r="E577" s="20"/>
    </row>
    <row r="578" customFormat="false" ht="15" hidden="false" customHeight="false" outlineLevel="0" collapsed="false">
      <c r="A578" s="14"/>
      <c r="B578" s="13"/>
      <c r="C578" s="13"/>
      <c r="D578" s="13"/>
      <c r="E578" s="15"/>
    </row>
    <row r="579" customFormat="false" ht="15" hidden="false" customHeight="false" outlineLevel="0" collapsed="false">
      <c r="A579" s="19"/>
      <c r="B579" s="18"/>
      <c r="C579" s="18"/>
      <c r="D579" s="18"/>
      <c r="E579" s="20"/>
    </row>
    <row r="580" customFormat="false" ht="15" hidden="false" customHeight="false" outlineLevel="0" collapsed="false">
      <c r="A580" s="14"/>
      <c r="B580" s="13"/>
      <c r="C580" s="13"/>
      <c r="D580" s="13"/>
      <c r="E580" s="15"/>
    </row>
    <row r="581" customFormat="false" ht="15" hidden="false" customHeight="false" outlineLevel="0" collapsed="false">
      <c r="A581" s="19"/>
      <c r="B581" s="18"/>
      <c r="C581" s="18"/>
      <c r="D581" s="18"/>
      <c r="E581" s="20"/>
    </row>
    <row r="582" customFormat="false" ht="15" hidden="false" customHeight="false" outlineLevel="0" collapsed="false">
      <c r="A582" s="14"/>
      <c r="B582" s="13"/>
      <c r="C582" s="13"/>
      <c r="D582" s="13"/>
      <c r="E582" s="15"/>
    </row>
    <row r="583" customFormat="false" ht="15" hidden="false" customHeight="false" outlineLevel="0" collapsed="false">
      <c r="A583" s="19"/>
      <c r="B583" s="18"/>
      <c r="C583" s="18"/>
      <c r="D583" s="18"/>
      <c r="E583" s="20"/>
    </row>
    <row r="584" customFormat="false" ht="15" hidden="false" customHeight="false" outlineLevel="0" collapsed="false">
      <c r="A584" s="14"/>
      <c r="B584" s="13"/>
      <c r="C584" s="13"/>
      <c r="D584" s="13"/>
      <c r="E584" s="15"/>
    </row>
    <row r="585" customFormat="false" ht="15" hidden="false" customHeight="false" outlineLevel="0" collapsed="false">
      <c r="A585" s="19"/>
      <c r="B585" s="18"/>
      <c r="C585" s="18"/>
      <c r="D585" s="18"/>
      <c r="E585" s="20"/>
    </row>
    <row r="586" customFormat="false" ht="15" hidden="false" customHeight="false" outlineLevel="0" collapsed="false">
      <c r="A586" s="14"/>
      <c r="B586" s="13"/>
      <c r="C586" s="13"/>
      <c r="D586" s="13"/>
      <c r="E586" s="15"/>
    </row>
    <row r="587" customFormat="false" ht="15" hidden="false" customHeight="false" outlineLevel="0" collapsed="false">
      <c r="A587" s="19"/>
      <c r="B587" s="18"/>
      <c r="C587" s="18"/>
      <c r="D587" s="18"/>
      <c r="E587" s="20"/>
    </row>
    <row r="588" customFormat="false" ht="15" hidden="false" customHeight="false" outlineLevel="0" collapsed="false">
      <c r="A588" s="14"/>
      <c r="B588" s="13"/>
      <c r="C588" s="13"/>
      <c r="D588" s="13"/>
      <c r="E588" s="15"/>
    </row>
    <row r="589" customFormat="false" ht="15" hidden="false" customHeight="false" outlineLevel="0" collapsed="false">
      <c r="A589" s="19"/>
      <c r="B589" s="18"/>
      <c r="C589" s="18"/>
      <c r="D589" s="18"/>
      <c r="E589" s="20"/>
    </row>
    <row r="590" customFormat="false" ht="15" hidden="false" customHeight="false" outlineLevel="0" collapsed="false">
      <c r="A590" s="14"/>
      <c r="B590" s="13"/>
      <c r="C590" s="13"/>
      <c r="D590" s="13"/>
      <c r="E590" s="15"/>
    </row>
    <row r="591" customFormat="false" ht="15" hidden="false" customHeight="false" outlineLevel="0" collapsed="false">
      <c r="A591" s="19"/>
      <c r="B591" s="18"/>
      <c r="C591" s="18"/>
      <c r="D591" s="18"/>
      <c r="E591" s="20"/>
    </row>
    <row r="592" customFormat="false" ht="15" hidden="false" customHeight="false" outlineLevel="0" collapsed="false">
      <c r="A592" s="14"/>
      <c r="B592" s="13"/>
      <c r="C592" s="13"/>
      <c r="D592" s="13"/>
      <c r="E592" s="15"/>
    </row>
    <row r="593" customFormat="false" ht="15" hidden="false" customHeight="false" outlineLevel="0" collapsed="false">
      <c r="A593" s="19"/>
      <c r="B593" s="18"/>
      <c r="C593" s="18"/>
      <c r="D593" s="18"/>
      <c r="E593" s="20"/>
    </row>
    <row r="594" customFormat="false" ht="15" hidden="false" customHeight="false" outlineLevel="0" collapsed="false">
      <c r="A594" s="14"/>
      <c r="B594" s="13"/>
      <c r="C594" s="13"/>
      <c r="D594" s="13"/>
      <c r="E594" s="15"/>
    </row>
    <row r="595" customFormat="false" ht="15" hidden="false" customHeight="false" outlineLevel="0" collapsed="false">
      <c r="A595" s="19"/>
      <c r="B595" s="18"/>
      <c r="C595" s="18"/>
      <c r="D595" s="18"/>
      <c r="E595" s="20"/>
    </row>
    <row r="596" customFormat="false" ht="15" hidden="false" customHeight="false" outlineLevel="0" collapsed="false">
      <c r="A596" s="14"/>
      <c r="B596" s="13"/>
      <c r="C596" s="13"/>
      <c r="D596" s="13"/>
      <c r="E596" s="15"/>
    </row>
    <row r="597" customFormat="false" ht="15" hidden="false" customHeight="false" outlineLevel="0" collapsed="false">
      <c r="A597" s="19"/>
      <c r="B597" s="18"/>
      <c r="C597" s="18"/>
      <c r="D597" s="18"/>
      <c r="E597" s="20"/>
    </row>
    <row r="598" customFormat="false" ht="15" hidden="false" customHeight="false" outlineLevel="0" collapsed="false">
      <c r="A598" s="14"/>
      <c r="B598" s="13"/>
      <c r="C598" s="13"/>
      <c r="D598" s="13"/>
      <c r="E598" s="15"/>
    </row>
    <row r="599" customFormat="false" ht="15" hidden="false" customHeight="false" outlineLevel="0" collapsed="false">
      <c r="A599" s="19"/>
      <c r="B599" s="18"/>
      <c r="C599" s="18"/>
      <c r="D599" s="18"/>
      <c r="E599" s="20"/>
    </row>
    <row r="600" customFormat="false" ht="15" hidden="false" customHeight="false" outlineLevel="0" collapsed="false">
      <c r="A600" s="14"/>
      <c r="B600" s="13"/>
      <c r="C600" s="13"/>
      <c r="D600" s="13"/>
      <c r="E600" s="15"/>
    </row>
    <row r="601" customFormat="false" ht="15" hidden="false" customHeight="false" outlineLevel="0" collapsed="false">
      <c r="A601" s="19"/>
      <c r="B601" s="18"/>
      <c r="C601" s="18"/>
      <c r="D601" s="18"/>
      <c r="E601" s="20"/>
    </row>
    <row r="602" customFormat="false" ht="15" hidden="false" customHeight="false" outlineLevel="0" collapsed="false">
      <c r="A602" s="14"/>
      <c r="B602" s="13"/>
      <c r="C602" s="13"/>
      <c r="D602" s="13"/>
      <c r="E602" s="15"/>
    </row>
    <row r="603" customFormat="false" ht="15" hidden="false" customHeight="false" outlineLevel="0" collapsed="false">
      <c r="A603" s="19"/>
      <c r="B603" s="18"/>
      <c r="C603" s="18"/>
      <c r="D603" s="18"/>
      <c r="E603" s="20"/>
    </row>
    <row r="604" customFormat="false" ht="15" hidden="false" customHeight="false" outlineLevel="0" collapsed="false">
      <c r="A604" s="14"/>
      <c r="B604" s="13"/>
      <c r="C604" s="13"/>
      <c r="D604" s="13"/>
      <c r="E604" s="15"/>
    </row>
    <row r="605" customFormat="false" ht="15" hidden="false" customHeight="false" outlineLevel="0" collapsed="false">
      <c r="A605" s="19"/>
      <c r="B605" s="18"/>
      <c r="C605" s="18"/>
      <c r="D605" s="18"/>
      <c r="E605" s="20"/>
    </row>
    <row r="606" customFormat="false" ht="15" hidden="false" customHeight="false" outlineLevel="0" collapsed="false">
      <c r="A606" s="14"/>
      <c r="B606" s="13"/>
      <c r="C606" s="13"/>
      <c r="D606" s="13"/>
      <c r="E606" s="15"/>
    </row>
    <row r="607" customFormat="false" ht="15" hidden="false" customHeight="false" outlineLevel="0" collapsed="false">
      <c r="A607" s="19"/>
      <c r="B607" s="18"/>
      <c r="C607" s="18"/>
      <c r="D607" s="18"/>
      <c r="E607" s="20"/>
    </row>
    <row r="608" customFormat="false" ht="15" hidden="false" customHeight="false" outlineLevel="0" collapsed="false">
      <c r="A608" s="14"/>
      <c r="B608" s="13"/>
      <c r="C608" s="13"/>
      <c r="D608" s="13"/>
      <c r="E608" s="15"/>
    </row>
    <row r="609" customFormat="false" ht="15" hidden="false" customHeight="false" outlineLevel="0" collapsed="false">
      <c r="A609" s="19"/>
      <c r="B609" s="18"/>
      <c r="C609" s="18"/>
      <c r="D609" s="18"/>
      <c r="E609" s="20"/>
    </row>
    <row r="610" customFormat="false" ht="15" hidden="false" customHeight="false" outlineLevel="0" collapsed="false">
      <c r="A610" s="14"/>
      <c r="B610" s="13"/>
      <c r="C610" s="13"/>
      <c r="D610" s="13"/>
      <c r="E610" s="15"/>
    </row>
    <row r="611" customFormat="false" ht="15" hidden="false" customHeight="false" outlineLevel="0" collapsed="false">
      <c r="A611" s="19"/>
      <c r="B611" s="18"/>
      <c r="C611" s="18"/>
      <c r="D611" s="18"/>
      <c r="E611" s="20"/>
    </row>
    <row r="612" customFormat="false" ht="15" hidden="false" customHeight="false" outlineLevel="0" collapsed="false">
      <c r="A612" s="14"/>
      <c r="B612" s="13"/>
      <c r="C612" s="13"/>
      <c r="D612" s="13"/>
      <c r="E612" s="15"/>
    </row>
    <row r="613" customFormat="false" ht="15" hidden="false" customHeight="false" outlineLevel="0" collapsed="false">
      <c r="A613" s="19"/>
      <c r="B613" s="18"/>
      <c r="C613" s="18"/>
      <c r="D613" s="18"/>
      <c r="E613" s="20"/>
    </row>
    <row r="614" customFormat="false" ht="15" hidden="false" customHeight="false" outlineLevel="0" collapsed="false">
      <c r="A614" s="14"/>
      <c r="B614" s="13"/>
      <c r="C614" s="13"/>
      <c r="D614" s="13"/>
      <c r="E614" s="15"/>
    </row>
    <row r="615" customFormat="false" ht="15" hidden="false" customHeight="false" outlineLevel="0" collapsed="false">
      <c r="A615" s="19"/>
      <c r="B615" s="18"/>
      <c r="C615" s="18"/>
      <c r="D615" s="18"/>
      <c r="E615" s="20"/>
    </row>
    <row r="616" customFormat="false" ht="15" hidden="false" customHeight="false" outlineLevel="0" collapsed="false">
      <c r="A616" s="14"/>
      <c r="B616" s="13"/>
      <c r="C616" s="13"/>
      <c r="D616" s="13"/>
      <c r="E616" s="15"/>
    </row>
    <row r="617" customFormat="false" ht="15" hidden="false" customHeight="false" outlineLevel="0" collapsed="false">
      <c r="A617" s="19"/>
      <c r="B617" s="18"/>
      <c r="C617" s="18"/>
      <c r="D617" s="18"/>
      <c r="E617" s="20"/>
    </row>
    <row r="618" customFormat="false" ht="15" hidden="false" customHeight="false" outlineLevel="0" collapsed="false">
      <c r="A618" s="14"/>
      <c r="B618" s="13"/>
      <c r="C618" s="13"/>
      <c r="D618" s="13"/>
      <c r="E618" s="15"/>
    </row>
    <row r="619" customFormat="false" ht="15" hidden="false" customHeight="false" outlineLevel="0" collapsed="false">
      <c r="A619" s="19"/>
      <c r="B619" s="18"/>
      <c r="C619" s="18"/>
      <c r="D619" s="18"/>
      <c r="E619" s="20"/>
    </row>
    <row r="620" customFormat="false" ht="15" hidden="false" customHeight="false" outlineLevel="0" collapsed="false">
      <c r="A620" s="14"/>
      <c r="B620" s="13"/>
      <c r="C620" s="13"/>
      <c r="D620" s="13"/>
      <c r="E620" s="15"/>
    </row>
    <row r="621" customFormat="false" ht="15" hidden="false" customHeight="false" outlineLevel="0" collapsed="false">
      <c r="A621" s="19"/>
      <c r="B621" s="18"/>
      <c r="C621" s="18"/>
      <c r="D621" s="18"/>
      <c r="E621" s="20"/>
    </row>
    <row r="622" customFormat="false" ht="15" hidden="false" customHeight="false" outlineLevel="0" collapsed="false">
      <c r="A622" s="14"/>
      <c r="B622" s="13"/>
      <c r="C622" s="13"/>
      <c r="D622" s="13"/>
      <c r="E622" s="15"/>
    </row>
    <row r="623" customFormat="false" ht="15" hidden="false" customHeight="false" outlineLevel="0" collapsed="false">
      <c r="A623" s="19"/>
      <c r="B623" s="18"/>
      <c r="C623" s="18"/>
      <c r="D623" s="18"/>
      <c r="E623" s="20"/>
    </row>
    <row r="624" customFormat="false" ht="15" hidden="false" customHeight="false" outlineLevel="0" collapsed="false">
      <c r="A624" s="14"/>
      <c r="B624" s="13"/>
      <c r="C624" s="13"/>
      <c r="D624" s="13"/>
      <c r="E624" s="15"/>
    </row>
    <row r="625" customFormat="false" ht="15" hidden="false" customHeight="false" outlineLevel="0" collapsed="false">
      <c r="A625" s="19"/>
      <c r="B625" s="18"/>
      <c r="C625" s="18"/>
      <c r="D625" s="18"/>
      <c r="E625" s="20"/>
    </row>
    <row r="626" customFormat="false" ht="15" hidden="false" customHeight="false" outlineLevel="0" collapsed="false">
      <c r="A626" s="14"/>
      <c r="B626" s="13"/>
      <c r="C626" s="13"/>
      <c r="D626" s="13"/>
      <c r="E626" s="15"/>
    </row>
    <row r="627" customFormat="false" ht="15" hidden="false" customHeight="false" outlineLevel="0" collapsed="false">
      <c r="A627" s="19"/>
      <c r="B627" s="18"/>
      <c r="C627" s="18"/>
      <c r="D627" s="18"/>
      <c r="E627" s="20"/>
    </row>
    <row r="628" customFormat="false" ht="15" hidden="false" customHeight="false" outlineLevel="0" collapsed="false">
      <c r="A628" s="14"/>
      <c r="B628" s="13"/>
      <c r="C628" s="13"/>
      <c r="D628" s="13"/>
      <c r="E628" s="15"/>
    </row>
    <row r="629" customFormat="false" ht="15" hidden="false" customHeight="false" outlineLevel="0" collapsed="false">
      <c r="A629" s="19"/>
      <c r="B629" s="18"/>
      <c r="C629" s="18"/>
      <c r="D629" s="18"/>
      <c r="E629" s="20"/>
    </row>
    <row r="630" customFormat="false" ht="15" hidden="false" customHeight="false" outlineLevel="0" collapsed="false">
      <c r="A630" s="14"/>
      <c r="B630" s="13"/>
      <c r="C630" s="13"/>
      <c r="D630" s="13"/>
      <c r="E630" s="15"/>
    </row>
    <row r="631" customFormat="false" ht="15" hidden="false" customHeight="false" outlineLevel="0" collapsed="false">
      <c r="A631" s="19"/>
      <c r="B631" s="18"/>
      <c r="C631" s="18"/>
      <c r="D631" s="18"/>
      <c r="E631" s="20"/>
    </row>
    <row r="632" customFormat="false" ht="15" hidden="false" customHeight="false" outlineLevel="0" collapsed="false">
      <c r="A632" s="14"/>
      <c r="B632" s="13"/>
      <c r="C632" s="13"/>
      <c r="D632" s="13"/>
      <c r="E632" s="15"/>
    </row>
    <row r="633" customFormat="false" ht="15" hidden="false" customHeight="false" outlineLevel="0" collapsed="false">
      <c r="A633" s="19"/>
      <c r="B633" s="18"/>
      <c r="C633" s="18"/>
      <c r="D633" s="18"/>
      <c r="E633" s="20"/>
    </row>
    <row r="634" customFormat="false" ht="15" hidden="false" customHeight="false" outlineLevel="0" collapsed="false">
      <c r="A634" s="14"/>
      <c r="B634" s="13"/>
      <c r="C634" s="13"/>
      <c r="D634" s="13"/>
      <c r="E634" s="15"/>
    </row>
    <row r="635" customFormat="false" ht="15" hidden="false" customHeight="false" outlineLevel="0" collapsed="false">
      <c r="A635" s="19"/>
      <c r="B635" s="18"/>
      <c r="C635" s="18"/>
      <c r="D635" s="18"/>
      <c r="E635" s="20"/>
    </row>
    <row r="636" customFormat="false" ht="15" hidden="false" customHeight="false" outlineLevel="0" collapsed="false">
      <c r="A636" s="14"/>
      <c r="B636" s="13"/>
      <c r="C636" s="13"/>
      <c r="D636" s="13"/>
      <c r="E636" s="15"/>
    </row>
    <row r="637" customFormat="false" ht="15" hidden="false" customHeight="false" outlineLevel="0" collapsed="false">
      <c r="A637" s="19"/>
      <c r="B637" s="18"/>
      <c r="C637" s="18"/>
      <c r="D637" s="18"/>
      <c r="E637" s="20"/>
    </row>
    <row r="638" customFormat="false" ht="15" hidden="false" customHeight="false" outlineLevel="0" collapsed="false">
      <c r="A638" s="14"/>
      <c r="B638" s="13"/>
      <c r="C638" s="13"/>
      <c r="D638" s="13"/>
      <c r="E638" s="15"/>
    </row>
    <row r="639" customFormat="false" ht="15" hidden="false" customHeight="false" outlineLevel="0" collapsed="false">
      <c r="A639" s="19"/>
      <c r="B639" s="18"/>
      <c r="C639" s="18"/>
      <c r="D639" s="18"/>
      <c r="E639" s="20"/>
    </row>
    <row r="640" customFormat="false" ht="15" hidden="false" customHeight="false" outlineLevel="0" collapsed="false">
      <c r="A640" s="14"/>
      <c r="B640" s="13"/>
      <c r="C640" s="13"/>
      <c r="D640" s="13"/>
      <c r="E640" s="15"/>
    </row>
    <row r="641" customFormat="false" ht="15" hidden="false" customHeight="false" outlineLevel="0" collapsed="false">
      <c r="A641" s="19"/>
      <c r="B641" s="18"/>
      <c r="C641" s="18"/>
      <c r="D641" s="18"/>
      <c r="E641" s="20"/>
    </row>
    <row r="642" customFormat="false" ht="15" hidden="false" customHeight="false" outlineLevel="0" collapsed="false">
      <c r="A642" s="14"/>
      <c r="B642" s="13"/>
      <c r="C642" s="13"/>
      <c r="D642" s="13"/>
      <c r="E642" s="15"/>
    </row>
    <row r="643" customFormat="false" ht="15" hidden="false" customHeight="false" outlineLevel="0" collapsed="false">
      <c r="A643" s="19"/>
      <c r="B643" s="18"/>
      <c r="C643" s="18"/>
      <c r="D643" s="18"/>
      <c r="E643" s="20"/>
    </row>
    <row r="644" customFormat="false" ht="15" hidden="false" customHeight="false" outlineLevel="0" collapsed="false">
      <c r="A644" s="14"/>
      <c r="B644" s="13"/>
      <c r="C644" s="13"/>
      <c r="D644" s="13"/>
      <c r="E644" s="15"/>
    </row>
    <row r="645" customFormat="false" ht="15" hidden="false" customHeight="false" outlineLevel="0" collapsed="false">
      <c r="A645" s="19"/>
      <c r="B645" s="18"/>
      <c r="C645" s="18"/>
      <c r="D645" s="18"/>
      <c r="E645" s="20"/>
    </row>
    <row r="646" customFormat="false" ht="15" hidden="false" customHeight="false" outlineLevel="0" collapsed="false">
      <c r="A646" s="14"/>
      <c r="B646" s="13"/>
      <c r="C646" s="13"/>
      <c r="D646" s="13"/>
      <c r="E646" s="15"/>
    </row>
    <row r="647" customFormat="false" ht="15" hidden="false" customHeight="false" outlineLevel="0" collapsed="false">
      <c r="A647" s="19"/>
      <c r="B647" s="18"/>
      <c r="C647" s="18"/>
      <c r="D647" s="18"/>
      <c r="E647" s="20"/>
    </row>
    <row r="648" customFormat="false" ht="15" hidden="false" customHeight="false" outlineLevel="0" collapsed="false">
      <c r="A648" s="14"/>
      <c r="B648" s="13"/>
      <c r="C648" s="13"/>
      <c r="D648" s="13"/>
      <c r="E648" s="15"/>
    </row>
    <row r="649" customFormat="false" ht="15" hidden="false" customHeight="false" outlineLevel="0" collapsed="false">
      <c r="A649" s="19"/>
      <c r="B649" s="18"/>
      <c r="C649" s="18"/>
      <c r="D649" s="18"/>
      <c r="E649" s="20"/>
    </row>
    <row r="650" customFormat="false" ht="15" hidden="false" customHeight="false" outlineLevel="0" collapsed="false">
      <c r="A650" s="14"/>
      <c r="B650" s="13"/>
      <c r="C650" s="13"/>
      <c r="D650" s="13"/>
      <c r="E650" s="15"/>
    </row>
    <row r="651" customFormat="false" ht="15" hidden="false" customHeight="false" outlineLevel="0" collapsed="false">
      <c r="A651" s="19"/>
      <c r="B651" s="18"/>
      <c r="C651" s="18"/>
      <c r="D651" s="18"/>
      <c r="E651" s="20"/>
    </row>
    <row r="652" customFormat="false" ht="15" hidden="false" customHeight="false" outlineLevel="0" collapsed="false">
      <c r="A652" s="14"/>
      <c r="B652" s="13"/>
      <c r="C652" s="13"/>
      <c r="D652" s="13"/>
      <c r="E652" s="15"/>
    </row>
    <row r="653" customFormat="false" ht="15" hidden="false" customHeight="false" outlineLevel="0" collapsed="false">
      <c r="A653" s="19"/>
      <c r="B653" s="18"/>
      <c r="C653" s="18"/>
      <c r="D653" s="18"/>
      <c r="E653" s="20"/>
    </row>
    <row r="654" customFormat="false" ht="15" hidden="false" customHeight="false" outlineLevel="0" collapsed="false">
      <c r="A654" s="14"/>
      <c r="B654" s="13"/>
      <c r="C654" s="13"/>
      <c r="D654" s="13"/>
      <c r="E654" s="15"/>
    </row>
    <row r="655" customFormat="false" ht="15" hidden="false" customHeight="false" outlineLevel="0" collapsed="false">
      <c r="A655" s="19"/>
      <c r="B655" s="18"/>
      <c r="C655" s="18"/>
      <c r="D655" s="18"/>
      <c r="E655" s="20"/>
    </row>
    <row r="656" customFormat="false" ht="15" hidden="false" customHeight="false" outlineLevel="0" collapsed="false">
      <c r="A656" s="14"/>
      <c r="B656" s="13"/>
      <c r="C656" s="13"/>
      <c r="D656" s="13"/>
      <c r="E656" s="15"/>
    </row>
    <row r="657" customFormat="false" ht="15" hidden="false" customHeight="false" outlineLevel="0" collapsed="false">
      <c r="A657" s="19"/>
      <c r="B657" s="18"/>
      <c r="C657" s="18"/>
      <c r="D657" s="18"/>
      <c r="E657" s="20"/>
    </row>
    <row r="658" customFormat="false" ht="15" hidden="false" customHeight="false" outlineLevel="0" collapsed="false">
      <c r="A658" s="14"/>
      <c r="B658" s="13"/>
      <c r="C658" s="13"/>
      <c r="D658" s="13"/>
      <c r="E658" s="15"/>
    </row>
    <row r="659" customFormat="false" ht="15" hidden="false" customHeight="false" outlineLevel="0" collapsed="false">
      <c r="A659" s="19"/>
      <c r="B659" s="18"/>
      <c r="C659" s="18"/>
      <c r="D659" s="18"/>
      <c r="E659" s="20"/>
    </row>
    <row r="660" customFormat="false" ht="15" hidden="false" customHeight="false" outlineLevel="0" collapsed="false">
      <c r="A660" s="14"/>
      <c r="B660" s="13"/>
      <c r="C660" s="13"/>
      <c r="D660" s="13"/>
      <c r="E660" s="15"/>
    </row>
    <row r="661" customFormat="false" ht="15" hidden="false" customHeight="false" outlineLevel="0" collapsed="false">
      <c r="A661" s="19"/>
      <c r="B661" s="18"/>
      <c r="C661" s="18"/>
      <c r="D661" s="18"/>
      <c r="E661" s="20"/>
    </row>
    <row r="662" customFormat="false" ht="15" hidden="false" customHeight="false" outlineLevel="0" collapsed="false">
      <c r="A662" s="14"/>
      <c r="B662" s="13"/>
      <c r="C662" s="13"/>
      <c r="D662" s="13"/>
      <c r="E662" s="15"/>
    </row>
    <row r="663" customFormat="false" ht="15" hidden="false" customHeight="false" outlineLevel="0" collapsed="false">
      <c r="A663" s="19"/>
      <c r="B663" s="18"/>
      <c r="C663" s="18"/>
      <c r="D663" s="18"/>
      <c r="E663" s="20"/>
    </row>
    <row r="664" customFormat="false" ht="15" hidden="false" customHeight="false" outlineLevel="0" collapsed="false">
      <c r="A664" s="14"/>
      <c r="B664" s="13"/>
      <c r="C664" s="13"/>
      <c r="D664" s="13"/>
      <c r="E664" s="15"/>
    </row>
    <row r="665" customFormat="false" ht="15" hidden="false" customHeight="false" outlineLevel="0" collapsed="false">
      <c r="A665" s="19"/>
      <c r="B665" s="18"/>
      <c r="C665" s="18"/>
      <c r="D665" s="18"/>
      <c r="E665" s="20"/>
    </row>
    <row r="666" customFormat="false" ht="15" hidden="false" customHeight="false" outlineLevel="0" collapsed="false">
      <c r="A666" s="14"/>
      <c r="B666" s="13"/>
      <c r="C666" s="13"/>
      <c r="D666" s="13"/>
      <c r="E666" s="15"/>
    </row>
    <row r="667" customFormat="false" ht="15" hidden="false" customHeight="false" outlineLevel="0" collapsed="false">
      <c r="A667" s="19"/>
      <c r="B667" s="18"/>
      <c r="C667" s="18"/>
      <c r="D667" s="18"/>
      <c r="E667" s="20"/>
    </row>
    <row r="668" customFormat="false" ht="15" hidden="false" customHeight="false" outlineLevel="0" collapsed="false">
      <c r="A668" s="14"/>
      <c r="B668" s="13"/>
      <c r="C668" s="13"/>
      <c r="D668" s="13"/>
      <c r="E668" s="15"/>
    </row>
    <row r="669" customFormat="false" ht="15" hidden="false" customHeight="false" outlineLevel="0" collapsed="false">
      <c r="A669" s="19"/>
      <c r="B669" s="18"/>
      <c r="C669" s="18"/>
      <c r="D669" s="18"/>
      <c r="E669" s="20"/>
    </row>
    <row r="670" customFormat="false" ht="15" hidden="false" customHeight="false" outlineLevel="0" collapsed="false">
      <c r="A670" s="14"/>
      <c r="B670" s="13"/>
      <c r="C670" s="13"/>
      <c r="D670" s="13"/>
      <c r="E670" s="15"/>
    </row>
    <row r="671" customFormat="false" ht="15" hidden="false" customHeight="false" outlineLevel="0" collapsed="false">
      <c r="A671" s="19"/>
      <c r="B671" s="18"/>
      <c r="C671" s="18"/>
      <c r="D671" s="18"/>
      <c r="E671" s="20"/>
    </row>
    <row r="672" customFormat="false" ht="15" hidden="false" customHeight="false" outlineLevel="0" collapsed="false">
      <c r="A672" s="14"/>
      <c r="B672" s="13"/>
      <c r="C672" s="13"/>
      <c r="D672" s="13"/>
      <c r="E672" s="15"/>
    </row>
    <row r="673" customFormat="false" ht="15" hidden="false" customHeight="false" outlineLevel="0" collapsed="false">
      <c r="A673" s="19"/>
      <c r="B673" s="18"/>
      <c r="C673" s="18"/>
      <c r="D673" s="18"/>
      <c r="E673" s="20"/>
    </row>
    <row r="674" customFormat="false" ht="15" hidden="false" customHeight="false" outlineLevel="0" collapsed="false">
      <c r="A674" s="14"/>
      <c r="B674" s="13"/>
      <c r="C674" s="13"/>
      <c r="D674" s="13"/>
      <c r="E674" s="15"/>
    </row>
    <row r="675" customFormat="false" ht="15" hidden="false" customHeight="false" outlineLevel="0" collapsed="false">
      <c r="A675" s="19"/>
      <c r="B675" s="18"/>
      <c r="C675" s="18"/>
      <c r="D675" s="18"/>
      <c r="E675" s="20"/>
    </row>
    <row r="676" customFormat="false" ht="15" hidden="false" customHeight="false" outlineLevel="0" collapsed="false">
      <c r="A676" s="14"/>
      <c r="B676" s="13"/>
      <c r="C676" s="13"/>
      <c r="D676" s="13"/>
      <c r="E676" s="15"/>
    </row>
    <row r="677" customFormat="false" ht="15" hidden="false" customHeight="false" outlineLevel="0" collapsed="false">
      <c r="A677" s="19"/>
      <c r="B677" s="18"/>
      <c r="C677" s="18"/>
      <c r="D677" s="18"/>
      <c r="E677" s="20"/>
    </row>
    <row r="678" customFormat="false" ht="15" hidden="false" customHeight="false" outlineLevel="0" collapsed="false">
      <c r="A678" s="14"/>
      <c r="B678" s="13"/>
      <c r="C678" s="13"/>
      <c r="D678" s="13"/>
      <c r="E678" s="15"/>
    </row>
    <row r="679" customFormat="false" ht="15" hidden="false" customHeight="false" outlineLevel="0" collapsed="false">
      <c r="A679" s="19"/>
      <c r="B679" s="18"/>
      <c r="C679" s="18"/>
      <c r="D679" s="18"/>
      <c r="E679" s="20"/>
    </row>
    <row r="680" customFormat="false" ht="15" hidden="false" customHeight="false" outlineLevel="0" collapsed="false">
      <c r="A680" s="14"/>
      <c r="B680" s="13"/>
      <c r="C680" s="13"/>
      <c r="D680" s="13"/>
      <c r="E680" s="15"/>
    </row>
    <row r="681" customFormat="false" ht="15" hidden="false" customHeight="false" outlineLevel="0" collapsed="false">
      <c r="A681" s="19"/>
      <c r="B681" s="18"/>
      <c r="C681" s="18"/>
      <c r="D681" s="18"/>
      <c r="E681" s="20"/>
    </row>
    <row r="682" customFormat="false" ht="15" hidden="false" customHeight="false" outlineLevel="0" collapsed="false">
      <c r="A682" s="14"/>
      <c r="B682" s="13"/>
      <c r="C682" s="13"/>
      <c r="D682" s="13"/>
      <c r="E682" s="15"/>
    </row>
    <row r="683" customFormat="false" ht="15" hidden="false" customHeight="false" outlineLevel="0" collapsed="false">
      <c r="A683" s="19"/>
      <c r="B683" s="18"/>
      <c r="C683" s="18"/>
      <c r="D683" s="18"/>
      <c r="E683" s="20"/>
    </row>
    <row r="684" customFormat="false" ht="15" hidden="false" customHeight="false" outlineLevel="0" collapsed="false">
      <c r="A684" s="14"/>
      <c r="B684" s="13"/>
      <c r="C684" s="13"/>
      <c r="D684" s="13"/>
      <c r="E684" s="15"/>
    </row>
    <row r="685" customFormat="false" ht="15" hidden="false" customHeight="false" outlineLevel="0" collapsed="false">
      <c r="A685" s="19"/>
      <c r="B685" s="18"/>
      <c r="C685" s="18"/>
      <c r="D685" s="18"/>
      <c r="E685" s="20"/>
    </row>
    <row r="686" customFormat="false" ht="15" hidden="false" customHeight="false" outlineLevel="0" collapsed="false">
      <c r="A686" s="14"/>
      <c r="B686" s="13"/>
      <c r="C686" s="13"/>
      <c r="D686" s="13"/>
      <c r="E686" s="15"/>
    </row>
    <row r="687" customFormat="false" ht="15" hidden="false" customHeight="false" outlineLevel="0" collapsed="false">
      <c r="A687" s="19"/>
      <c r="B687" s="18"/>
      <c r="C687" s="18"/>
      <c r="D687" s="18"/>
      <c r="E687" s="20"/>
    </row>
    <row r="688" customFormat="false" ht="15" hidden="false" customHeight="false" outlineLevel="0" collapsed="false">
      <c r="A688" s="14"/>
      <c r="B688" s="13"/>
      <c r="C688" s="13"/>
      <c r="D688" s="13"/>
      <c r="E688" s="15"/>
    </row>
    <row r="689" customFormat="false" ht="15" hidden="false" customHeight="false" outlineLevel="0" collapsed="false">
      <c r="A689" s="19"/>
      <c r="B689" s="18"/>
      <c r="C689" s="18"/>
      <c r="D689" s="18"/>
      <c r="E689" s="20"/>
    </row>
    <row r="690" customFormat="false" ht="15" hidden="false" customHeight="false" outlineLevel="0" collapsed="false">
      <c r="A690" s="14"/>
      <c r="B690" s="13"/>
      <c r="C690" s="13"/>
      <c r="D690" s="13"/>
      <c r="E690" s="15"/>
    </row>
    <row r="691" customFormat="false" ht="15" hidden="false" customHeight="false" outlineLevel="0" collapsed="false">
      <c r="A691" s="19"/>
      <c r="B691" s="18"/>
      <c r="C691" s="18"/>
      <c r="D691" s="18"/>
      <c r="E691" s="20"/>
    </row>
    <row r="692" customFormat="false" ht="15" hidden="false" customHeight="false" outlineLevel="0" collapsed="false">
      <c r="A692" s="14"/>
      <c r="B692" s="13"/>
      <c r="C692" s="13"/>
      <c r="D692" s="13"/>
      <c r="E692" s="15"/>
    </row>
    <row r="693" customFormat="false" ht="15" hidden="false" customHeight="false" outlineLevel="0" collapsed="false">
      <c r="A693" s="19"/>
      <c r="B693" s="18"/>
      <c r="C693" s="18"/>
      <c r="D693" s="18"/>
      <c r="E693" s="20"/>
    </row>
    <row r="694" customFormat="false" ht="15" hidden="false" customHeight="false" outlineLevel="0" collapsed="false">
      <c r="A694" s="14"/>
      <c r="B694" s="13"/>
      <c r="C694" s="13"/>
      <c r="D694" s="13"/>
      <c r="E694" s="15"/>
    </row>
    <row r="695" customFormat="false" ht="15" hidden="false" customHeight="false" outlineLevel="0" collapsed="false">
      <c r="A695" s="19"/>
      <c r="B695" s="18"/>
      <c r="C695" s="18"/>
      <c r="D695" s="18"/>
      <c r="E695" s="20"/>
    </row>
    <row r="696" customFormat="false" ht="15" hidden="false" customHeight="false" outlineLevel="0" collapsed="false">
      <c r="A696" s="14"/>
      <c r="B696" s="13"/>
      <c r="C696" s="13"/>
      <c r="D696" s="13"/>
      <c r="E696" s="15"/>
    </row>
    <row r="697" customFormat="false" ht="15" hidden="false" customHeight="false" outlineLevel="0" collapsed="false">
      <c r="A697" s="19"/>
      <c r="B697" s="18"/>
      <c r="C697" s="18"/>
      <c r="D697" s="18"/>
      <c r="E697" s="20"/>
    </row>
    <row r="698" customFormat="false" ht="15" hidden="false" customHeight="false" outlineLevel="0" collapsed="false">
      <c r="A698" s="14"/>
      <c r="B698" s="13"/>
      <c r="C698" s="13"/>
      <c r="D698" s="13"/>
      <c r="E698" s="15"/>
    </row>
    <row r="699" customFormat="false" ht="15" hidden="false" customHeight="false" outlineLevel="0" collapsed="false">
      <c r="A699" s="19"/>
      <c r="B699" s="18"/>
      <c r="C699" s="18"/>
      <c r="D699" s="18"/>
      <c r="E699" s="20"/>
    </row>
    <row r="700" customFormat="false" ht="15" hidden="false" customHeight="false" outlineLevel="0" collapsed="false">
      <c r="A700" s="14"/>
      <c r="B700" s="13"/>
      <c r="C700" s="13"/>
      <c r="D700" s="13"/>
      <c r="E700" s="15"/>
    </row>
    <row r="701" customFormat="false" ht="15" hidden="false" customHeight="false" outlineLevel="0" collapsed="false">
      <c r="A701" s="19"/>
      <c r="B701" s="18"/>
      <c r="C701" s="18"/>
      <c r="D701" s="18"/>
      <c r="E701" s="20"/>
    </row>
    <row r="702" customFormat="false" ht="15" hidden="false" customHeight="false" outlineLevel="0" collapsed="false">
      <c r="A702" s="14"/>
      <c r="B702" s="13"/>
      <c r="C702" s="13"/>
      <c r="D702" s="13"/>
      <c r="E702" s="15"/>
    </row>
    <row r="703" customFormat="false" ht="15" hidden="false" customHeight="false" outlineLevel="0" collapsed="false">
      <c r="A703" s="19"/>
      <c r="B703" s="18"/>
      <c r="C703" s="18"/>
      <c r="D703" s="18"/>
      <c r="E703" s="20"/>
    </row>
    <row r="704" customFormat="false" ht="15" hidden="false" customHeight="false" outlineLevel="0" collapsed="false">
      <c r="A704" s="14"/>
      <c r="B704" s="13"/>
      <c r="C704" s="13"/>
      <c r="D704" s="13"/>
      <c r="E704" s="15"/>
    </row>
    <row r="705" customFormat="false" ht="15" hidden="false" customHeight="false" outlineLevel="0" collapsed="false">
      <c r="A705" s="19"/>
      <c r="B705" s="18"/>
      <c r="C705" s="18"/>
      <c r="D705" s="18"/>
      <c r="E705" s="20"/>
    </row>
    <row r="706" customFormat="false" ht="15" hidden="false" customHeight="false" outlineLevel="0" collapsed="false">
      <c r="A706" s="14"/>
      <c r="B706" s="13"/>
      <c r="C706" s="13"/>
      <c r="D706" s="13"/>
      <c r="E706" s="15"/>
    </row>
    <row r="707" customFormat="false" ht="15" hidden="false" customHeight="false" outlineLevel="0" collapsed="false">
      <c r="A707" s="19"/>
      <c r="B707" s="18"/>
      <c r="C707" s="18"/>
      <c r="D707" s="18"/>
      <c r="E707" s="20"/>
    </row>
    <row r="708" customFormat="false" ht="15" hidden="false" customHeight="false" outlineLevel="0" collapsed="false">
      <c r="A708" s="14"/>
      <c r="B708" s="13"/>
      <c r="C708" s="13"/>
      <c r="D708" s="13"/>
      <c r="E708" s="15"/>
    </row>
    <row r="709" customFormat="false" ht="15" hidden="false" customHeight="false" outlineLevel="0" collapsed="false">
      <c r="A709" s="19"/>
      <c r="B709" s="18"/>
      <c r="C709" s="18"/>
      <c r="D709" s="18"/>
      <c r="E709" s="20"/>
    </row>
    <row r="710" customFormat="false" ht="15" hidden="false" customHeight="false" outlineLevel="0" collapsed="false">
      <c r="A710" s="14"/>
      <c r="B710" s="13"/>
      <c r="C710" s="13"/>
      <c r="D710" s="13"/>
      <c r="E710" s="15"/>
    </row>
    <row r="711" customFormat="false" ht="15" hidden="false" customHeight="false" outlineLevel="0" collapsed="false">
      <c r="A711" s="19"/>
      <c r="B711" s="18"/>
      <c r="C711" s="18"/>
      <c r="D711" s="18"/>
      <c r="E711" s="20"/>
    </row>
    <row r="712" customFormat="false" ht="15" hidden="false" customHeight="false" outlineLevel="0" collapsed="false">
      <c r="A712" s="14"/>
      <c r="B712" s="13"/>
      <c r="C712" s="13"/>
      <c r="D712" s="13"/>
      <c r="E712" s="15"/>
    </row>
    <row r="713" customFormat="false" ht="15" hidden="false" customHeight="false" outlineLevel="0" collapsed="false">
      <c r="A713" s="19"/>
      <c r="B713" s="18"/>
      <c r="C713" s="18"/>
      <c r="D713" s="18"/>
      <c r="E713" s="20"/>
    </row>
    <row r="714" customFormat="false" ht="15" hidden="false" customHeight="false" outlineLevel="0" collapsed="false">
      <c r="A714" s="14"/>
      <c r="B714" s="13"/>
      <c r="C714" s="13"/>
      <c r="D714" s="13"/>
      <c r="E714" s="15"/>
    </row>
    <row r="715" customFormat="false" ht="15" hidden="false" customHeight="false" outlineLevel="0" collapsed="false">
      <c r="A715" s="19"/>
      <c r="B715" s="18"/>
      <c r="C715" s="18"/>
      <c r="D715" s="18"/>
      <c r="E715" s="20"/>
    </row>
    <row r="716" customFormat="false" ht="15" hidden="false" customHeight="false" outlineLevel="0" collapsed="false">
      <c r="A716" s="14"/>
      <c r="B716" s="13"/>
      <c r="C716" s="13"/>
      <c r="D716" s="13"/>
      <c r="E716" s="15"/>
    </row>
    <row r="717" customFormat="false" ht="15" hidden="false" customHeight="false" outlineLevel="0" collapsed="false">
      <c r="A717" s="19"/>
      <c r="B717" s="18"/>
      <c r="C717" s="18"/>
      <c r="D717" s="18"/>
      <c r="E717" s="20"/>
    </row>
    <row r="718" customFormat="false" ht="15" hidden="false" customHeight="false" outlineLevel="0" collapsed="false">
      <c r="A718" s="14"/>
      <c r="B718" s="13"/>
      <c r="C718" s="13"/>
      <c r="D718" s="13"/>
      <c r="E718" s="15"/>
    </row>
    <row r="719" customFormat="false" ht="15" hidden="false" customHeight="false" outlineLevel="0" collapsed="false">
      <c r="A719" s="19"/>
      <c r="B719" s="18"/>
      <c r="C719" s="18"/>
      <c r="D719" s="18"/>
      <c r="E719" s="20"/>
    </row>
    <row r="720" customFormat="false" ht="15" hidden="false" customHeight="false" outlineLevel="0" collapsed="false">
      <c r="A720" s="14"/>
      <c r="B720" s="13"/>
      <c r="C720" s="13"/>
      <c r="D720" s="13"/>
      <c r="E720" s="15"/>
    </row>
    <row r="721" customFormat="false" ht="15" hidden="false" customHeight="false" outlineLevel="0" collapsed="false">
      <c r="A721" s="19"/>
      <c r="B721" s="18"/>
      <c r="C721" s="18"/>
      <c r="D721" s="18"/>
      <c r="E721" s="20"/>
    </row>
    <row r="722" customFormat="false" ht="15" hidden="false" customHeight="false" outlineLevel="0" collapsed="false">
      <c r="A722" s="14"/>
      <c r="B722" s="13"/>
      <c r="C722" s="13"/>
      <c r="D722" s="13"/>
      <c r="E722" s="15"/>
    </row>
    <row r="723" customFormat="false" ht="15" hidden="false" customHeight="false" outlineLevel="0" collapsed="false">
      <c r="A723" s="19"/>
      <c r="B723" s="18"/>
      <c r="C723" s="18"/>
      <c r="D723" s="18"/>
      <c r="E723" s="20"/>
    </row>
    <row r="724" customFormat="false" ht="15" hidden="false" customHeight="false" outlineLevel="0" collapsed="false">
      <c r="A724" s="14"/>
      <c r="B724" s="13"/>
      <c r="C724" s="13"/>
      <c r="D724" s="13"/>
      <c r="E724" s="15"/>
    </row>
    <row r="725" customFormat="false" ht="15" hidden="false" customHeight="false" outlineLevel="0" collapsed="false">
      <c r="A725" s="19"/>
      <c r="B725" s="18"/>
      <c r="C725" s="18"/>
      <c r="D725" s="18"/>
      <c r="E725" s="20"/>
    </row>
    <row r="726" customFormat="false" ht="15" hidden="false" customHeight="false" outlineLevel="0" collapsed="false">
      <c r="A726" s="14"/>
      <c r="B726" s="13"/>
      <c r="C726" s="13"/>
      <c r="D726" s="13"/>
      <c r="E726" s="15"/>
    </row>
    <row r="727" customFormat="false" ht="15" hidden="false" customHeight="false" outlineLevel="0" collapsed="false">
      <c r="A727" s="19"/>
      <c r="B727" s="18"/>
      <c r="C727" s="18"/>
      <c r="D727" s="18"/>
      <c r="E727" s="20"/>
    </row>
    <row r="728" customFormat="false" ht="15" hidden="false" customHeight="false" outlineLevel="0" collapsed="false">
      <c r="A728" s="14"/>
      <c r="B728" s="13"/>
      <c r="C728" s="13"/>
      <c r="D728" s="13"/>
      <c r="E728" s="15"/>
    </row>
    <row r="729" customFormat="false" ht="15" hidden="false" customHeight="false" outlineLevel="0" collapsed="false">
      <c r="A729" s="19"/>
      <c r="B729" s="18"/>
      <c r="C729" s="18"/>
      <c r="D729" s="18"/>
      <c r="E729" s="20"/>
    </row>
    <row r="730" customFormat="false" ht="15" hidden="false" customHeight="false" outlineLevel="0" collapsed="false">
      <c r="A730" s="14"/>
      <c r="B730" s="13"/>
      <c r="C730" s="13"/>
      <c r="D730" s="13"/>
      <c r="E730" s="15"/>
    </row>
    <row r="731" customFormat="false" ht="15" hidden="false" customHeight="false" outlineLevel="0" collapsed="false">
      <c r="A731" s="19"/>
      <c r="B731" s="18"/>
      <c r="C731" s="18"/>
      <c r="D731" s="18"/>
      <c r="E731" s="20"/>
    </row>
    <row r="732" customFormat="false" ht="15" hidden="false" customHeight="false" outlineLevel="0" collapsed="false">
      <c r="A732" s="14"/>
      <c r="B732" s="13"/>
      <c r="C732" s="13"/>
      <c r="D732" s="13"/>
      <c r="E732" s="15"/>
    </row>
    <row r="733" customFormat="false" ht="15" hidden="false" customHeight="false" outlineLevel="0" collapsed="false">
      <c r="A733" s="19"/>
      <c r="B733" s="18"/>
      <c r="C733" s="18"/>
      <c r="D733" s="18"/>
      <c r="E733" s="20"/>
    </row>
    <row r="734" customFormat="false" ht="15" hidden="false" customHeight="false" outlineLevel="0" collapsed="false">
      <c r="A734" s="14"/>
      <c r="B734" s="13"/>
      <c r="C734" s="13"/>
      <c r="D734" s="13"/>
      <c r="E734" s="15"/>
    </row>
    <row r="735" customFormat="false" ht="15" hidden="false" customHeight="false" outlineLevel="0" collapsed="false">
      <c r="A735" s="19"/>
      <c r="B735" s="18"/>
      <c r="C735" s="18"/>
      <c r="D735" s="18"/>
      <c r="E735" s="20"/>
    </row>
    <row r="736" customFormat="false" ht="15" hidden="false" customHeight="false" outlineLevel="0" collapsed="false">
      <c r="A736" s="14"/>
      <c r="B736" s="13"/>
      <c r="C736" s="13"/>
      <c r="D736" s="13"/>
      <c r="E736" s="15"/>
    </row>
    <row r="737" customFormat="false" ht="15" hidden="false" customHeight="false" outlineLevel="0" collapsed="false">
      <c r="A737" s="19"/>
      <c r="B737" s="18"/>
      <c r="C737" s="18"/>
      <c r="D737" s="18"/>
      <c r="E737" s="20"/>
    </row>
    <row r="738" customFormat="false" ht="15" hidden="false" customHeight="false" outlineLevel="0" collapsed="false">
      <c r="A738" s="14"/>
      <c r="B738" s="13"/>
      <c r="C738" s="13"/>
      <c r="D738" s="13"/>
      <c r="E738" s="15"/>
    </row>
    <row r="739" customFormat="false" ht="15" hidden="false" customHeight="false" outlineLevel="0" collapsed="false">
      <c r="A739" s="19"/>
      <c r="B739" s="18"/>
      <c r="C739" s="18"/>
      <c r="D739" s="18"/>
      <c r="E739" s="20"/>
    </row>
    <row r="740" customFormat="false" ht="15" hidden="false" customHeight="false" outlineLevel="0" collapsed="false">
      <c r="A740" s="14"/>
      <c r="B740" s="13"/>
      <c r="C740" s="13"/>
      <c r="D740" s="13"/>
      <c r="E740" s="15"/>
    </row>
    <row r="741" customFormat="false" ht="15" hidden="false" customHeight="false" outlineLevel="0" collapsed="false">
      <c r="A741" s="19"/>
      <c r="B741" s="18"/>
      <c r="C741" s="18"/>
      <c r="D741" s="18"/>
      <c r="E741" s="20"/>
    </row>
    <row r="742" customFormat="false" ht="15" hidden="false" customHeight="false" outlineLevel="0" collapsed="false">
      <c r="A742" s="14"/>
      <c r="B742" s="13"/>
      <c r="C742" s="13"/>
      <c r="D742" s="13"/>
      <c r="E742" s="15"/>
    </row>
    <row r="743" customFormat="false" ht="15" hidden="false" customHeight="false" outlineLevel="0" collapsed="false">
      <c r="A743" s="19"/>
      <c r="B743" s="18"/>
      <c r="C743" s="18"/>
      <c r="D743" s="18"/>
      <c r="E743" s="20"/>
    </row>
    <row r="744" customFormat="false" ht="15" hidden="false" customHeight="false" outlineLevel="0" collapsed="false">
      <c r="A744" s="14"/>
      <c r="B744" s="13"/>
      <c r="C744" s="13"/>
      <c r="D744" s="13"/>
      <c r="E744" s="15"/>
    </row>
    <row r="745" customFormat="false" ht="15" hidden="false" customHeight="false" outlineLevel="0" collapsed="false">
      <c r="A745" s="19"/>
      <c r="B745" s="18"/>
      <c r="C745" s="18"/>
      <c r="D745" s="18"/>
      <c r="E745" s="20"/>
    </row>
    <row r="746" customFormat="false" ht="15" hidden="false" customHeight="false" outlineLevel="0" collapsed="false">
      <c r="A746" s="14"/>
      <c r="B746" s="13"/>
      <c r="C746" s="13"/>
      <c r="D746" s="13"/>
      <c r="E746" s="15"/>
    </row>
    <row r="747" customFormat="false" ht="15" hidden="false" customHeight="false" outlineLevel="0" collapsed="false">
      <c r="A747" s="19"/>
      <c r="B747" s="18"/>
      <c r="C747" s="18"/>
      <c r="D747" s="18"/>
      <c r="E747" s="20"/>
    </row>
    <row r="748" customFormat="false" ht="15" hidden="false" customHeight="false" outlineLevel="0" collapsed="false">
      <c r="A748" s="14"/>
      <c r="B748" s="13"/>
      <c r="C748" s="13"/>
      <c r="D748" s="13"/>
      <c r="E748" s="15"/>
    </row>
    <row r="749" customFormat="false" ht="15" hidden="false" customHeight="false" outlineLevel="0" collapsed="false">
      <c r="A749" s="19"/>
      <c r="B749" s="18"/>
      <c r="C749" s="18"/>
      <c r="D749" s="18"/>
      <c r="E749" s="20"/>
    </row>
    <row r="750" customFormat="false" ht="15" hidden="false" customHeight="false" outlineLevel="0" collapsed="false">
      <c r="A750" s="14"/>
      <c r="B750" s="13"/>
      <c r="C750" s="13"/>
      <c r="D750" s="13"/>
      <c r="E750" s="15"/>
    </row>
    <row r="751" customFormat="false" ht="15" hidden="false" customHeight="false" outlineLevel="0" collapsed="false">
      <c r="A751" s="19"/>
      <c r="B751" s="18"/>
      <c r="C751" s="18"/>
      <c r="D751" s="18"/>
      <c r="E751" s="20"/>
    </row>
    <row r="752" customFormat="false" ht="15" hidden="false" customHeight="false" outlineLevel="0" collapsed="false">
      <c r="A752" s="14"/>
      <c r="B752" s="13"/>
      <c r="C752" s="13"/>
      <c r="D752" s="13"/>
      <c r="E752" s="15"/>
    </row>
    <row r="753" customFormat="false" ht="15" hidden="false" customHeight="false" outlineLevel="0" collapsed="false">
      <c r="A753" s="19"/>
      <c r="B753" s="18"/>
      <c r="C753" s="18"/>
      <c r="D753" s="18"/>
      <c r="E753" s="20"/>
    </row>
    <row r="754" customFormat="false" ht="15" hidden="false" customHeight="false" outlineLevel="0" collapsed="false">
      <c r="A754" s="14"/>
      <c r="B754" s="13"/>
      <c r="C754" s="13"/>
      <c r="D754" s="13"/>
      <c r="E754" s="15"/>
    </row>
    <row r="755" customFormat="false" ht="15" hidden="false" customHeight="false" outlineLevel="0" collapsed="false">
      <c r="A755" s="19"/>
      <c r="B755" s="18"/>
      <c r="C755" s="18"/>
      <c r="D755" s="18"/>
      <c r="E755" s="20"/>
    </row>
    <row r="756" customFormat="false" ht="15" hidden="false" customHeight="false" outlineLevel="0" collapsed="false">
      <c r="A756" s="14"/>
      <c r="B756" s="13"/>
      <c r="C756" s="13"/>
      <c r="D756" s="13"/>
      <c r="E756" s="15"/>
    </row>
    <row r="757" customFormat="false" ht="15" hidden="false" customHeight="false" outlineLevel="0" collapsed="false">
      <c r="A757" s="19"/>
      <c r="B757" s="18"/>
      <c r="C757" s="18"/>
      <c r="D757" s="18"/>
      <c r="E757" s="20"/>
    </row>
    <row r="758" customFormat="false" ht="15" hidden="false" customHeight="false" outlineLevel="0" collapsed="false">
      <c r="A758" s="14"/>
      <c r="B758" s="13"/>
      <c r="C758" s="13"/>
      <c r="D758" s="13"/>
      <c r="E758" s="15"/>
    </row>
    <row r="759" customFormat="false" ht="15" hidden="false" customHeight="false" outlineLevel="0" collapsed="false">
      <c r="A759" s="19"/>
      <c r="B759" s="18"/>
      <c r="C759" s="18"/>
      <c r="D759" s="18"/>
      <c r="E759" s="20"/>
    </row>
    <row r="760" customFormat="false" ht="15" hidden="false" customHeight="false" outlineLevel="0" collapsed="false">
      <c r="A760" s="14"/>
      <c r="B760" s="13"/>
      <c r="C760" s="13"/>
      <c r="D760" s="13"/>
      <c r="E760" s="15"/>
    </row>
    <row r="761" customFormat="false" ht="15" hidden="false" customHeight="false" outlineLevel="0" collapsed="false">
      <c r="A761" s="19"/>
      <c r="B761" s="18"/>
      <c r="C761" s="18"/>
      <c r="D761" s="18"/>
      <c r="E761" s="20"/>
    </row>
    <row r="762" customFormat="false" ht="15" hidden="false" customHeight="false" outlineLevel="0" collapsed="false">
      <c r="A762" s="14"/>
      <c r="B762" s="13"/>
      <c r="C762" s="13"/>
      <c r="D762" s="13"/>
      <c r="E762" s="15"/>
    </row>
    <row r="763" customFormat="false" ht="15" hidden="false" customHeight="false" outlineLevel="0" collapsed="false">
      <c r="A763" s="19"/>
      <c r="B763" s="18"/>
      <c r="C763" s="18"/>
      <c r="D763" s="18"/>
      <c r="E763" s="20"/>
    </row>
    <row r="764" customFormat="false" ht="15" hidden="false" customHeight="false" outlineLevel="0" collapsed="false">
      <c r="A764" s="14"/>
      <c r="B764" s="13"/>
      <c r="C764" s="13"/>
      <c r="D764" s="13"/>
      <c r="E764" s="15"/>
    </row>
    <row r="765" customFormat="false" ht="15" hidden="false" customHeight="false" outlineLevel="0" collapsed="false">
      <c r="A765" s="19"/>
      <c r="B765" s="18"/>
      <c r="C765" s="18"/>
      <c r="D765" s="18"/>
      <c r="E765" s="20"/>
    </row>
    <row r="766" customFormat="false" ht="15" hidden="false" customHeight="false" outlineLevel="0" collapsed="false">
      <c r="A766" s="14"/>
      <c r="B766" s="13"/>
      <c r="C766" s="13"/>
      <c r="D766" s="13"/>
      <c r="E766" s="15"/>
    </row>
    <row r="767" customFormat="false" ht="15" hidden="false" customHeight="false" outlineLevel="0" collapsed="false">
      <c r="A767" s="19"/>
      <c r="B767" s="18"/>
      <c r="C767" s="18"/>
      <c r="D767" s="18"/>
      <c r="E767" s="20"/>
    </row>
    <row r="768" customFormat="false" ht="15" hidden="false" customHeight="false" outlineLevel="0" collapsed="false">
      <c r="A768" s="14"/>
      <c r="B768" s="13"/>
      <c r="C768" s="13"/>
      <c r="D768" s="13"/>
      <c r="E768" s="15"/>
    </row>
    <row r="769" customFormat="false" ht="15" hidden="false" customHeight="false" outlineLevel="0" collapsed="false">
      <c r="A769" s="19"/>
      <c r="B769" s="18"/>
      <c r="C769" s="18"/>
      <c r="D769" s="18"/>
      <c r="E769" s="20"/>
    </row>
    <row r="770" customFormat="false" ht="15" hidden="false" customHeight="false" outlineLevel="0" collapsed="false">
      <c r="A770" s="14"/>
      <c r="B770" s="13"/>
      <c r="C770" s="13"/>
      <c r="D770" s="13"/>
      <c r="E770" s="15"/>
    </row>
    <row r="771" customFormat="false" ht="15" hidden="false" customHeight="false" outlineLevel="0" collapsed="false">
      <c r="A771" s="19"/>
      <c r="B771" s="18"/>
      <c r="C771" s="18"/>
      <c r="D771" s="18"/>
      <c r="E771" s="20"/>
    </row>
    <row r="772" customFormat="false" ht="15" hidden="false" customHeight="false" outlineLevel="0" collapsed="false">
      <c r="A772" s="14"/>
      <c r="B772" s="13"/>
      <c r="C772" s="13"/>
      <c r="D772" s="13"/>
      <c r="E772" s="15"/>
    </row>
    <row r="773" customFormat="false" ht="15" hidden="false" customHeight="false" outlineLevel="0" collapsed="false">
      <c r="A773" s="19"/>
      <c r="B773" s="18"/>
      <c r="C773" s="18"/>
      <c r="D773" s="18"/>
      <c r="E773" s="20"/>
    </row>
    <row r="774" customFormat="false" ht="15" hidden="false" customHeight="false" outlineLevel="0" collapsed="false">
      <c r="A774" s="14"/>
      <c r="B774" s="13"/>
      <c r="C774" s="13"/>
      <c r="D774" s="13"/>
      <c r="E774" s="15"/>
    </row>
    <row r="775" customFormat="false" ht="15" hidden="false" customHeight="false" outlineLevel="0" collapsed="false">
      <c r="A775" s="19"/>
      <c r="B775" s="18"/>
      <c r="C775" s="18"/>
      <c r="D775" s="18"/>
      <c r="E775" s="20"/>
    </row>
    <row r="776" customFormat="false" ht="15" hidden="false" customHeight="false" outlineLevel="0" collapsed="false">
      <c r="A776" s="14"/>
      <c r="B776" s="13"/>
      <c r="C776" s="13"/>
      <c r="D776" s="13"/>
      <c r="E776" s="15"/>
    </row>
    <row r="777" customFormat="false" ht="15" hidden="false" customHeight="false" outlineLevel="0" collapsed="false">
      <c r="A777" s="19"/>
      <c r="B777" s="18"/>
      <c r="C777" s="18"/>
      <c r="D777" s="18"/>
      <c r="E777" s="20"/>
    </row>
    <row r="778" customFormat="false" ht="15" hidden="false" customHeight="false" outlineLevel="0" collapsed="false">
      <c r="A778" s="14"/>
      <c r="B778" s="13"/>
      <c r="C778" s="13"/>
      <c r="D778" s="13"/>
      <c r="E778" s="15"/>
    </row>
    <row r="779" customFormat="false" ht="15" hidden="false" customHeight="false" outlineLevel="0" collapsed="false">
      <c r="A779" s="19"/>
      <c r="B779" s="18"/>
      <c r="C779" s="18"/>
      <c r="D779" s="18"/>
      <c r="E779" s="20"/>
    </row>
    <row r="780" customFormat="false" ht="15" hidden="false" customHeight="false" outlineLevel="0" collapsed="false">
      <c r="A780" s="14"/>
      <c r="B780" s="13"/>
      <c r="C780" s="13"/>
      <c r="D780" s="13"/>
      <c r="E780" s="15"/>
    </row>
    <row r="781" customFormat="false" ht="15" hidden="false" customHeight="false" outlineLevel="0" collapsed="false">
      <c r="A781" s="19"/>
      <c r="B781" s="18"/>
      <c r="C781" s="18"/>
      <c r="D781" s="18"/>
      <c r="E781" s="20"/>
    </row>
    <row r="782" customFormat="false" ht="15" hidden="false" customHeight="false" outlineLevel="0" collapsed="false">
      <c r="A782" s="14"/>
      <c r="B782" s="13"/>
      <c r="C782" s="13"/>
      <c r="D782" s="13"/>
      <c r="E782" s="15"/>
    </row>
    <row r="783" customFormat="false" ht="15" hidden="false" customHeight="false" outlineLevel="0" collapsed="false">
      <c r="A783" s="19"/>
      <c r="B783" s="18"/>
      <c r="C783" s="18"/>
      <c r="D783" s="18"/>
      <c r="E783" s="20"/>
    </row>
    <row r="784" customFormat="false" ht="15" hidden="false" customHeight="false" outlineLevel="0" collapsed="false">
      <c r="A784" s="14"/>
      <c r="B784" s="13"/>
      <c r="C784" s="13"/>
      <c r="D784" s="13"/>
      <c r="E784" s="15"/>
    </row>
    <row r="785" customFormat="false" ht="15" hidden="false" customHeight="false" outlineLevel="0" collapsed="false">
      <c r="A785" s="19"/>
      <c r="B785" s="18"/>
      <c r="C785" s="18"/>
      <c r="D785" s="18"/>
      <c r="E785" s="20"/>
    </row>
    <row r="786" customFormat="false" ht="15" hidden="false" customHeight="false" outlineLevel="0" collapsed="false">
      <c r="A786" s="14"/>
      <c r="B786" s="13"/>
      <c r="C786" s="13"/>
      <c r="D786" s="13"/>
      <c r="E786" s="15"/>
    </row>
    <row r="787" customFormat="false" ht="15" hidden="false" customHeight="false" outlineLevel="0" collapsed="false">
      <c r="A787" s="19"/>
      <c r="B787" s="18"/>
      <c r="C787" s="18"/>
      <c r="D787" s="18"/>
      <c r="E787" s="20"/>
    </row>
    <row r="788" customFormat="false" ht="15" hidden="false" customHeight="false" outlineLevel="0" collapsed="false">
      <c r="A788" s="14"/>
      <c r="B788" s="13"/>
      <c r="C788" s="13"/>
      <c r="D788" s="13"/>
      <c r="E788" s="15"/>
    </row>
    <row r="789" customFormat="false" ht="15" hidden="false" customHeight="false" outlineLevel="0" collapsed="false">
      <c r="A789" s="19"/>
      <c r="B789" s="18"/>
      <c r="C789" s="18"/>
      <c r="D789" s="18"/>
      <c r="E789" s="20"/>
    </row>
    <row r="790" customFormat="false" ht="15" hidden="false" customHeight="false" outlineLevel="0" collapsed="false">
      <c r="A790" s="14"/>
      <c r="B790" s="13"/>
      <c r="C790" s="13"/>
      <c r="D790" s="13"/>
      <c r="E790" s="15"/>
    </row>
    <row r="791" customFormat="false" ht="15" hidden="false" customHeight="false" outlineLevel="0" collapsed="false">
      <c r="A791" s="19"/>
      <c r="B791" s="18"/>
      <c r="C791" s="18"/>
      <c r="D791" s="18"/>
      <c r="E791" s="20"/>
    </row>
    <row r="792" customFormat="false" ht="15" hidden="false" customHeight="false" outlineLevel="0" collapsed="false">
      <c r="A792" s="14"/>
      <c r="B792" s="13"/>
      <c r="C792" s="13"/>
      <c r="D792" s="13"/>
      <c r="E792" s="15"/>
    </row>
    <row r="793" customFormat="false" ht="15" hidden="false" customHeight="false" outlineLevel="0" collapsed="false">
      <c r="A793" s="19"/>
      <c r="B793" s="18"/>
      <c r="C793" s="18"/>
      <c r="D793" s="18"/>
      <c r="E793" s="20"/>
    </row>
    <row r="794" customFormat="false" ht="15" hidden="false" customHeight="false" outlineLevel="0" collapsed="false">
      <c r="A794" s="14"/>
      <c r="B794" s="13"/>
      <c r="C794" s="13"/>
      <c r="D794" s="13"/>
      <c r="E794" s="15"/>
    </row>
    <row r="795" customFormat="false" ht="15" hidden="false" customHeight="false" outlineLevel="0" collapsed="false">
      <c r="A795" s="19"/>
      <c r="B795" s="18"/>
      <c r="C795" s="18"/>
      <c r="D795" s="18"/>
      <c r="E795" s="20"/>
    </row>
    <row r="796" customFormat="false" ht="15" hidden="false" customHeight="false" outlineLevel="0" collapsed="false">
      <c r="A796" s="14"/>
      <c r="B796" s="13"/>
      <c r="C796" s="13"/>
      <c r="D796" s="13"/>
      <c r="E796" s="15"/>
    </row>
    <row r="797" customFormat="false" ht="15" hidden="false" customHeight="false" outlineLevel="0" collapsed="false">
      <c r="A797" s="19"/>
      <c r="B797" s="18"/>
      <c r="C797" s="18"/>
      <c r="D797" s="18"/>
      <c r="E797" s="20"/>
    </row>
    <row r="798" customFormat="false" ht="15" hidden="false" customHeight="false" outlineLevel="0" collapsed="false">
      <c r="A798" s="14"/>
      <c r="B798" s="13"/>
      <c r="C798" s="13"/>
      <c r="D798" s="13"/>
      <c r="E798" s="15"/>
    </row>
    <row r="799" customFormat="false" ht="15" hidden="false" customHeight="false" outlineLevel="0" collapsed="false">
      <c r="A799" s="19"/>
      <c r="B799" s="18"/>
      <c r="C799" s="18"/>
      <c r="D799" s="18"/>
      <c r="E799" s="20"/>
    </row>
    <row r="800" customFormat="false" ht="15" hidden="false" customHeight="false" outlineLevel="0" collapsed="false">
      <c r="A800" s="14"/>
      <c r="B800" s="13"/>
      <c r="C800" s="13"/>
      <c r="D800" s="13"/>
      <c r="E800" s="15"/>
    </row>
    <row r="801" customFormat="false" ht="15" hidden="false" customHeight="false" outlineLevel="0" collapsed="false">
      <c r="A801" s="19"/>
      <c r="B801" s="18"/>
      <c r="C801" s="18"/>
      <c r="D801" s="18"/>
      <c r="E801" s="20"/>
    </row>
    <row r="802" customFormat="false" ht="15" hidden="false" customHeight="false" outlineLevel="0" collapsed="false">
      <c r="A802" s="14"/>
      <c r="B802" s="13"/>
      <c r="C802" s="13"/>
      <c r="D802" s="13"/>
      <c r="E802" s="15"/>
    </row>
    <row r="803" customFormat="false" ht="15" hidden="false" customHeight="false" outlineLevel="0" collapsed="false">
      <c r="A803" s="19"/>
      <c r="B803" s="18"/>
      <c r="C803" s="18"/>
      <c r="D803" s="18"/>
      <c r="E803" s="20"/>
    </row>
    <row r="804" customFormat="false" ht="15" hidden="false" customHeight="false" outlineLevel="0" collapsed="false">
      <c r="A804" s="14"/>
      <c r="B804" s="13"/>
      <c r="C804" s="13"/>
      <c r="D804" s="13"/>
      <c r="E804" s="15"/>
    </row>
    <row r="805" customFormat="false" ht="15" hidden="false" customHeight="false" outlineLevel="0" collapsed="false">
      <c r="A805" s="19"/>
      <c r="B805" s="18"/>
      <c r="C805" s="18"/>
      <c r="D805" s="18"/>
      <c r="E805" s="20"/>
    </row>
    <row r="806" customFormat="false" ht="15" hidden="false" customHeight="false" outlineLevel="0" collapsed="false">
      <c r="A806" s="14"/>
      <c r="B806" s="13"/>
      <c r="C806" s="13"/>
      <c r="D806" s="13"/>
      <c r="E806" s="15"/>
    </row>
    <row r="807" customFormat="false" ht="15" hidden="false" customHeight="false" outlineLevel="0" collapsed="false">
      <c r="A807" s="19"/>
      <c r="B807" s="18"/>
      <c r="C807" s="18"/>
      <c r="D807" s="18"/>
      <c r="E807" s="20"/>
    </row>
    <row r="808" customFormat="false" ht="15" hidden="false" customHeight="false" outlineLevel="0" collapsed="false">
      <c r="A808" s="14"/>
      <c r="B808" s="13"/>
      <c r="C808" s="13"/>
      <c r="D808" s="13"/>
      <c r="E808" s="15"/>
    </row>
    <row r="809" customFormat="false" ht="15" hidden="false" customHeight="false" outlineLevel="0" collapsed="false">
      <c r="A809" s="19"/>
      <c r="B809" s="18"/>
      <c r="C809" s="18"/>
      <c r="D809" s="18"/>
      <c r="E809" s="20"/>
    </row>
    <row r="810" customFormat="false" ht="15" hidden="false" customHeight="false" outlineLevel="0" collapsed="false">
      <c r="A810" s="14"/>
      <c r="B810" s="13"/>
      <c r="C810" s="13"/>
      <c r="D810" s="13"/>
      <c r="E810" s="15"/>
    </row>
    <row r="811" customFormat="false" ht="15" hidden="false" customHeight="false" outlineLevel="0" collapsed="false">
      <c r="A811" s="19"/>
      <c r="B811" s="18"/>
      <c r="C811" s="18"/>
      <c r="D811" s="18"/>
      <c r="E811" s="20"/>
    </row>
    <row r="812" customFormat="false" ht="15" hidden="false" customHeight="false" outlineLevel="0" collapsed="false">
      <c r="A812" s="14"/>
      <c r="B812" s="13"/>
      <c r="C812" s="13"/>
      <c r="D812" s="13"/>
      <c r="E812" s="15"/>
    </row>
    <row r="813" customFormat="false" ht="15" hidden="false" customHeight="false" outlineLevel="0" collapsed="false">
      <c r="A813" s="19"/>
      <c r="B813" s="18"/>
      <c r="C813" s="18"/>
      <c r="D813" s="18"/>
      <c r="E813" s="20"/>
    </row>
    <row r="814" customFormat="false" ht="15" hidden="false" customHeight="false" outlineLevel="0" collapsed="false">
      <c r="A814" s="14"/>
      <c r="B814" s="13"/>
      <c r="C814" s="13"/>
      <c r="D814" s="13"/>
      <c r="E814" s="15"/>
    </row>
    <row r="815" customFormat="false" ht="15" hidden="false" customHeight="false" outlineLevel="0" collapsed="false">
      <c r="A815" s="19"/>
      <c r="B815" s="18"/>
      <c r="C815" s="18"/>
      <c r="D815" s="18"/>
      <c r="E815" s="20"/>
    </row>
    <row r="816" customFormat="false" ht="15" hidden="false" customHeight="false" outlineLevel="0" collapsed="false">
      <c r="A816" s="14"/>
      <c r="B816" s="13"/>
      <c r="C816" s="13"/>
      <c r="D816" s="13"/>
      <c r="E816" s="15"/>
    </row>
    <row r="817" customFormat="false" ht="15" hidden="false" customHeight="false" outlineLevel="0" collapsed="false">
      <c r="A817" s="19"/>
      <c r="B817" s="18"/>
      <c r="C817" s="18"/>
      <c r="D817" s="18"/>
      <c r="E817" s="20"/>
    </row>
    <row r="818" customFormat="false" ht="15" hidden="false" customHeight="false" outlineLevel="0" collapsed="false">
      <c r="A818" s="14"/>
      <c r="B818" s="13"/>
      <c r="C818" s="13"/>
      <c r="D818" s="13"/>
      <c r="E818" s="15"/>
    </row>
    <row r="819" customFormat="false" ht="15" hidden="false" customHeight="false" outlineLevel="0" collapsed="false">
      <c r="A819" s="19"/>
      <c r="B819" s="18"/>
      <c r="C819" s="18"/>
      <c r="D819" s="18"/>
      <c r="E819" s="20"/>
    </row>
    <row r="820" customFormat="false" ht="15" hidden="false" customHeight="false" outlineLevel="0" collapsed="false">
      <c r="A820" s="14"/>
      <c r="B820" s="13"/>
      <c r="C820" s="13"/>
      <c r="D820" s="13"/>
      <c r="E820" s="15"/>
    </row>
    <row r="821" customFormat="false" ht="15" hidden="false" customHeight="false" outlineLevel="0" collapsed="false">
      <c r="A821" s="19"/>
      <c r="B821" s="18"/>
      <c r="C821" s="18"/>
      <c r="D821" s="18"/>
      <c r="E821" s="20"/>
    </row>
    <row r="822" customFormat="false" ht="15" hidden="false" customHeight="false" outlineLevel="0" collapsed="false">
      <c r="A822" s="14"/>
      <c r="B822" s="13"/>
      <c r="C822" s="13"/>
      <c r="D822" s="13"/>
      <c r="E822" s="15"/>
    </row>
    <row r="823" customFormat="false" ht="15" hidden="false" customHeight="false" outlineLevel="0" collapsed="false">
      <c r="A823" s="19"/>
      <c r="B823" s="18"/>
      <c r="C823" s="18"/>
      <c r="D823" s="18"/>
      <c r="E823" s="20"/>
    </row>
    <row r="824" customFormat="false" ht="15" hidden="false" customHeight="false" outlineLevel="0" collapsed="false">
      <c r="A824" s="14"/>
      <c r="B824" s="13"/>
      <c r="C824" s="13"/>
      <c r="D824" s="13"/>
      <c r="E824" s="15"/>
    </row>
    <row r="825" customFormat="false" ht="15" hidden="false" customHeight="false" outlineLevel="0" collapsed="false">
      <c r="A825" s="19"/>
      <c r="B825" s="18"/>
      <c r="C825" s="18"/>
      <c r="D825" s="18"/>
      <c r="E825" s="20"/>
    </row>
    <row r="826" customFormat="false" ht="15" hidden="false" customHeight="false" outlineLevel="0" collapsed="false">
      <c r="A826" s="14"/>
      <c r="B826" s="13"/>
      <c r="C826" s="13"/>
      <c r="D826" s="13"/>
      <c r="E826" s="15"/>
    </row>
    <row r="827" customFormat="false" ht="15" hidden="false" customHeight="false" outlineLevel="0" collapsed="false">
      <c r="A827" s="19"/>
      <c r="B827" s="18"/>
      <c r="C827" s="18"/>
      <c r="D827" s="18"/>
      <c r="E827" s="20"/>
    </row>
    <row r="828" customFormat="false" ht="15" hidden="false" customHeight="false" outlineLevel="0" collapsed="false">
      <c r="A828" s="14"/>
      <c r="B828" s="13"/>
      <c r="C828" s="13"/>
      <c r="D828" s="13"/>
      <c r="E828" s="15"/>
    </row>
    <row r="829" customFormat="false" ht="15" hidden="false" customHeight="false" outlineLevel="0" collapsed="false">
      <c r="A829" s="19"/>
      <c r="B829" s="18"/>
      <c r="C829" s="18"/>
      <c r="D829" s="18"/>
      <c r="E829" s="20"/>
    </row>
    <row r="830" customFormat="false" ht="15" hidden="false" customHeight="false" outlineLevel="0" collapsed="false">
      <c r="A830" s="14"/>
      <c r="B830" s="13"/>
      <c r="C830" s="13"/>
      <c r="D830" s="13"/>
      <c r="E830" s="15"/>
    </row>
    <row r="831" customFormat="false" ht="15" hidden="false" customHeight="false" outlineLevel="0" collapsed="false">
      <c r="A831" s="19"/>
      <c r="B831" s="18"/>
      <c r="C831" s="18"/>
      <c r="D831" s="18"/>
      <c r="E831" s="20"/>
    </row>
    <row r="832" customFormat="false" ht="15" hidden="false" customHeight="false" outlineLevel="0" collapsed="false">
      <c r="A832" s="14"/>
      <c r="B832" s="13"/>
      <c r="C832" s="13"/>
      <c r="D832" s="13"/>
      <c r="E832" s="15"/>
    </row>
    <row r="833" customFormat="false" ht="15" hidden="false" customHeight="false" outlineLevel="0" collapsed="false">
      <c r="A833" s="19"/>
      <c r="B833" s="18"/>
      <c r="C833" s="18"/>
      <c r="D833" s="18"/>
      <c r="E833" s="20"/>
    </row>
    <row r="834" customFormat="false" ht="15" hidden="false" customHeight="false" outlineLevel="0" collapsed="false">
      <c r="A834" s="14"/>
      <c r="B834" s="13"/>
      <c r="C834" s="13"/>
      <c r="D834" s="13"/>
      <c r="E834" s="15"/>
    </row>
    <row r="835" customFormat="false" ht="15" hidden="false" customHeight="false" outlineLevel="0" collapsed="false">
      <c r="A835" s="19"/>
      <c r="B835" s="18"/>
      <c r="C835" s="18"/>
      <c r="D835" s="18"/>
      <c r="E835" s="20"/>
    </row>
    <row r="836" customFormat="false" ht="15" hidden="false" customHeight="false" outlineLevel="0" collapsed="false">
      <c r="A836" s="14"/>
      <c r="B836" s="13"/>
      <c r="C836" s="13"/>
      <c r="D836" s="13"/>
      <c r="E836" s="15"/>
    </row>
    <row r="837" customFormat="false" ht="15" hidden="false" customHeight="false" outlineLevel="0" collapsed="false">
      <c r="A837" s="19"/>
      <c r="B837" s="18"/>
      <c r="C837" s="18"/>
      <c r="D837" s="18"/>
      <c r="E837" s="20"/>
    </row>
    <row r="838" customFormat="false" ht="15" hidden="false" customHeight="false" outlineLevel="0" collapsed="false">
      <c r="A838" s="14"/>
      <c r="B838" s="13"/>
      <c r="C838" s="13"/>
      <c r="D838" s="13"/>
      <c r="E838" s="15"/>
    </row>
    <row r="839" customFormat="false" ht="15" hidden="false" customHeight="false" outlineLevel="0" collapsed="false">
      <c r="A839" s="19"/>
      <c r="B839" s="18"/>
      <c r="C839" s="18"/>
      <c r="D839" s="18"/>
      <c r="E839" s="20"/>
    </row>
    <row r="840" customFormat="false" ht="15" hidden="false" customHeight="false" outlineLevel="0" collapsed="false">
      <c r="A840" s="14"/>
      <c r="B840" s="13"/>
      <c r="C840" s="13"/>
      <c r="D840" s="13"/>
      <c r="E840" s="15"/>
    </row>
    <row r="841" customFormat="false" ht="15" hidden="false" customHeight="false" outlineLevel="0" collapsed="false">
      <c r="A841" s="19"/>
      <c r="B841" s="18"/>
      <c r="C841" s="18"/>
      <c r="D841" s="18"/>
      <c r="E841" s="20"/>
    </row>
    <row r="842" customFormat="false" ht="15" hidden="false" customHeight="false" outlineLevel="0" collapsed="false">
      <c r="A842" s="14"/>
      <c r="B842" s="13"/>
      <c r="C842" s="13"/>
      <c r="D842" s="13"/>
      <c r="E842" s="15"/>
    </row>
    <row r="843" customFormat="false" ht="15" hidden="false" customHeight="false" outlineLevel="0" collapsed="false">
      <c r="A843" s="19"/>
      <c r="B843" s="18"/>
      <c r="C843" s="18"/>
      <c r="D843" s="18"/>
      <c r="E843" s="20"/>
    </row>
    <row r="844" customFormat="false" ht="15" hidden="false" customHeight="false" outlineLevel="0" collapsed="false">
      <c r="A844" s="14"/>
      <c r="B844" s="13"/>
      <c r="C844" s="13"/>
      <c r="D844" s="13"/>
      <c r="E844" s="15"/>
    </row>
    <row r="845" customFormat="false" ht="15" hidden="false" customHeight="false" outlineLevel="0" collapsed="false">
      <c r="A845" s="19"/>
      <c r="B845" s="18"/>
      <c r="C845" s="18"/>
      <c r="D845" s="18"/>
      <c r="E845" s="20"/>
    </row>
    <row r="846" customFormat="false" ht="15" hidden="false" customHeight="false" outlineLevel="0" collapsed="false">
      <c r="A846" s="14"/>
      <c r="B846" s="13"/>
      <c r="C846" s="13"/>
      <c r="D846" s="13"/>
      <c r="E846" s="15"/>
    </row>
    <row r="847" customFormat="false" ht="15" hidden="false" customHeight="false" outlineLevel="0" collapsed="false">
      <c r="A847" s="19"/>
      <c r="B847" s="18"/>
      <c r="C847" s="18"/>
      <c r="D847" s="18"/>
      <c r="E847" s="20"/>
    </row>
    <row r="848" customFormat="false" ht="15" hidden="false" customHeight="false" outlineLevel="0" collapsed="false">
      <c r="A848" s="14"/>
      <c r="B848" s="13"/>
      <c r="C848" s="13"/>
      <c r="D848" s="13"/>
      <c r="E848" s="15"/>
    </row>
    <row r="849" customFormat="false" ht="15" hidden="false" customHeight="false" outlineLevel="0" collapsed="false">
      <c r="A849" s="19"/>
      <c r="B849" s="18"/>
      <c r="C849" s="18"/>
      <c r="D849" s="18"/>
      <c r="E849" s="20"/>
    </row>
    <row r="850" customFormat="false" ht="15" hidden="false" customHeight="false" outlineLevel="0" collapsed="false">
      <c r="A850" s="14"/>
      <c r="B850" s="13"/>
      <c r="C850" s="13"/>
      <c r="D850" s="13"/>
      <c r="E850" s="15"/>
    </row>
    <row r="851" customFormat="false" ht="15" hidden="false" customHeight="false" outlineLevel="0" collapsed="false">
      <c r="A851" s="19"/>
      <c r="B851" s="18"/>
      <c r="C851" s="18"/>
      <c r="D851" s="18"/>
      <c r="E851" s="20"/>
    </row>
    <row r="852" customFormat="false" ht="15" hidden="false" customHeight="false" outlineLevel="0" collapsed="false">
      <c r="A852" s="14"/>
      <c r="B852" s="13"/>
      <c r="C852" s="13"/>
      <c r="D852" s="13"/>
      <c r="E852" s="15"/>
    </row>
    <row r="853" customFormat="false" ht="15" hidden="false" customHeight="false" outlineLevel="0" collapsed="false">
      <c r="A853" s="19"/>
      <c r="B853" s="18"/>
      <c r="C853" s="18"/>
      <c r="D853" s="18"/>
      <c r="E853" s="20"/>
    </row>
    <row r="854" customFormat="false" ht="15" hidden="false" customHeight="false" outlineLevel="0" collapsed="false">
      <c r="A854" s="14"/>
      <c r="B854" s="13"/>
      <c r="C854" s="13"/>
      <c r="D854" s="13"/>
      <c r="E854" s="15"/>
    </row>
    <row r="855" customFormat="false" ht="15" hidden="false" customHeight="false" outlineLevel="0" collapsed="false">
      <c r="A855" s="19"/>
      <c r="B855" s="18"/>
      <c r="C855" s="18"/>
      <c r="D855" s="18"/>
      <c r="E855" s="20"/>
    </row>
    <row r="856" customFormat="false" ht="15" hidden="false" customHeight="false" outlineLevel="0" collapsed="false">
      <c r="A856" s="14"/>
      <c r="B856" s="13"/>
      <c r="C856" s="13"/>
      <c r="D856" s="13"/>
      <c r="E856" s="15"/>
    </row>
    <row r="857" customFormat="false" ht="15" hidden="false" customHeight="false" outlineLevel="0" collapsed="false">
      <c r="A857" s="19"/>
      <c r="B857" s="18"/>
      <c r="C857" s="18"/>
      <c r="D857" s="18"/>
      <c r="E857" s="20"/>
    </row>
    <row r="858" customFormat="false" ht="15" hidden="false" customHeight="false" outlineLevel="0" collapsed="false">
      <c r="A858" s="14"/>
      <c r="B858" s="13"/>
      <c r="C858" s="13"/>
      <c r="D858" s="13"/>
      <c r="E858" s="15"/>
    </row>
    <row r="859" customFormat="false" ht="15" hidden="false" customHeight="false" outlineLevel="0" collapsed="false">
      <c r="A859" s="19"/>
      <c r="B859" s="18"/>
      <c r="C859" s="18"/>
      <c r="D859" s="18"/>
      <c r="E859" s="20"/>
    </row>
    <row r="860" customFormat="false" ht="15" hidden="false" customHeight="false" outlineLevel="0" collapsed="false">
      <c r="A860" s="14"/>
      <c r="B860" s="13"/>
      <c r="C860" s="13"/>
      <c r="D860" s="13"/>
      <c r="E860" s="15"/>
    </row>
    <row r="861" customFormat="false" ht="15" hidden="false" customHeight="false" outlineLevel="0" collapsed="false">
      <c r="A861" s="19"/>
      <c r="B861" s="18"/>
      <c r="C861" s="18"/>
      <c r="D861" s="18"/>
      <c r="E861" s="20"/>
    </row>
    <row r="862" customFormat="false" ht="15" hidden="false" customHeight="false" outlineLevel="0" collapsed="false">
      <c r="A862" s="14"/>
      <c r="B862" s="13"/>
      <c r="C862" s="13"/>
      <c r="D862" s="13"/>
      <c r="E862" s="15"/>
    </row>
    <row r="863" customFormat="false" ht="15" hidden="false" customHeight="false" outlineLevel="0" collapsed="false">
      <c r="A863" s="19"/>
      <c r="B863" s="18"/>
      <c r="C863" s="18"/>
      <c r="D863" s="18"/>
      <c r="E863" s="20"/>
    </row>
    <row r="864" customFormat="false" ht="15" hidden="false" customHeight="false" outlineLevel="0" collapsed="false">
      <c r="A864" s="14"/>
      <c r="B864" s="13"/>
      <c r="C864" s="13"/>
      <c r="D864" s="13"/>
      <c r="E864" s="15"/>
    </row>
    <row r="865" customFormat="false" ht="15" hidden="false" customHeight="false" outlineLevel="0" collapsed="false">
      <c r="A865" s="19"/>
      <c r="B865" s="18"/>
      <c r="C865" s="18"/>
      <c r="D865" s="18"/>
      <c r="E865" s="20"/>
    </row>
    <row r="866" customFormat="false" ht="15" hidden="false" customHeight="false" outlineLevel="0" collapsed="false">
      <c r="A866" s="14"/>
      <c r="B866" s="13"/>
      <c r="C866" s="13"/>
      <c r="D866" s="13"/>
      <c r="E866" s="15"/>
    </row>
    <row r="867" customFormat="false" ht="15" hidden="false" customHeight="false" outlineLevel="0" collapsed="false">
      <c r="A867" s="19"/>
      <c r="B867" s="18"/>
      <c r="C867" s="18"/>
      <c r="D867" s="18"/>
      <c r="E867" s="20"/>
    </row>
    <row r="868" customFormat="false" ht="15" hidden="false" customHeight="false" outlineLevel="0" collapsed="false">
      <c r="A868" s="14"/>
      <c r="B868" s="13"/>
      <c r="C868" s="13"/>
      <c r="D868" s="13"/>
      <c r="E868" s="15"/>
    </row>
    <row r="869" customFormat="false" ht="15" hidden="false" customHeight="false" outlineLevel="0" collapsed="false">
      <c r="A869" s="19"/>
      <c r="B869" s="18"/>
      <c r="C869" s="18"/>
      <c r="D869" s="18"/>
      <c r="E869" s="20"/>
    </row>
    <row r="870" customFormat="false" ht="15" hidden="false" customHeight="false" outlineLevel="0" collapsed="false">
      <c r="A870" s="14"/>
      <c r="B870" s="13"/>
      <c r="C870" s="13"/>
      <c r="D870" s="13"/>
      <c r="E870" s="15"/>
    </row>
    <row r="871" customFormat="false" ht="15" hidden="false" customHeight="false" outlineLevel="0" collapsed="false">
      <c r="A871" s="19"/>
      <c r="B871" s="18"/>
      <c r="C871" s="18"/>
      <c r="D871" s="18"/>
      <c r="E871" s="20"/>
    </row>
    <row r="872" customFormat="false" ht="15" hidden="false" customHeight="false" outlineLevel="0" collapsed="false">
      <c r="A872" s="14"/>
      <c r="B872" s="13"/>
      <c r="C872" s="13"/>
      <c r="D872" s="13"/>
      <c r="E872" s="15"/>
    </row>
    <row r="873" customFormat="false" ht="15" hidden="false" customHeight="false" outlineLevel="0" collapsed="false">
      <c r="A873" s="19"/>
      <c r="B873" s="18"/>
      <c r="C873" s="18"/>
      <c r="D873" s="18"/>
      <c r="E873" s="20"/>
    </row>
    <row r="874" customFormat="false" ht="15" hidden="false" customHeight="false" outlineLevel="0" collapsed="false">
      <c r="A874" s="14"/>
      <c r="B874" s="13"/>
      <c r="C874" s="13"/>
      <c r="D874" s="13"/>
      <c r="E874" s="15"/>
    </row>
    <row r="875" customFormat="false" ht="15" hidden="false" customHeight="false" outlineLevel="0" collapsed="false">
      <c r="A875" s="19"/>
      <c r="B875" s="18"/>
      <c r="C875" s="18"/>
      <c r="D875" s="18"/>
      <c r="E875" s="20"/>
    </row>
    <row r="876" customFormat="false" ht="15" hidden="false" customHeight="false" outlineLevel="0" collapsed="false">
      <c r="A876" s="14"/>
      <c r="B876" s="13"/>
      <c r="C876" s="13"/>
      <c r="D876" s="13"/>
      <c r="E876" s="15"/>
    </row>
    <row r="877" customFormat="false" ht="15" hidden="false" customHeight="false" outlineLevel="0" collapsed="false">
      <c r="A877" s="19"/>
      <c r="B877" s="18"/>
      <c r="C877" s="18"/>
      <c r="D877" s="18"/>
      <c r="E877" s="20"/>
    </row>
    <row r="878" customFormat="false" ht="15" hidden="false" customHeight="false" outlineLevel="0" collapsed="false">
      <c r="A878" s="14"/>
      <c r="B878" s="13"/>
      <c r="C878" s="13"/>
      <c r="D878" s="13"/>
      <c r="E878" s="15"/>
    </row>
    <row r="879" customFormat="false" ht="15" hidden="false" customHeight="false" outlineLevel="0" collapsed="false">
      <c r="A879" s="19"/>
      <c r="B879" s="18"/>
      <c r="C879" s="18"/>
      <c r="D879" s="18"/>
      <c r="E879" s="20"/>
    </row>
    <row r="880" customFormat="false" ht="15" hidden="false" customHeight="false" outlineLevel="0" collapsed="false">
      <c r="A880" s="14"/>
      <c r="B880" s="13"/>
      <c r="C880" s="13"/>
      <c r="D880" s="13"/>
      <c r="E880" s="15"/>
    </row>
    <row r="881" customFormat="false" ht="15" hidden="false" customHeight="false" outlineLevel="0" collapsed="false">
      <c r="A881" s="19"/>
      <c r="B881" s="18"/>
      <c r="C881" s="18"/>
      <c r="D881" s="18"/>
      <c r="E881" s="20"/>
    </row>
    <row r="882" customFormat="false" ht="15" hidden="false" customHeight="false" outlineLevel="0" collapsed="false">
      <c r="A882" s="14"/>
      <c r="B882" s="13"/>
      <c r="C882" s="13"/>
      <c r="D882" s="13"/>
      <c r="E882" s="15"/>
    </row>
    <row r="883" customFormat="false" ht="15" hidden="false" customHeight="false" outlineLevel="0" collapsed="false">
      <c r="A883" s="19"/>
      <c r="B883" s="18"/>
      <c r="C883" s="18"/>
      <c r="D883" s="18"/>
      <c r="E883" s="20"/>
    </row>
    <row r="884" customFormat="false" ht="15" hidden="false" customHeight="false" outlineLevel="0" collapsed="false">
      <c r="A884" s="14"/>
      <c r="B884" s="13"/>
      <c r="C884" s="13"/>
      <c r="D884" s="13"/>
      <c r="E884" s="15"/>
    </row>
    <row r="885" customFormat="false" ht="15" hidden="false" customHeight="false" outlineLevel="0" collapsed="false">
      <c r="A885" s="19"/>
      <c r="B885" s="18"/>
      <c r="C885" s="18"/>
      <c r="D885" s="18"/>
      <c r="E885" s="20"/>
    </row>
    <row r="886" customFormat="false" ht="15" hidden="false" customHeight="false" outlineLevel="0" collapsed="false">
      <c r="A886" s="14"/>
      <c r="B886" s="13"/>
      <c r="C886" s="13"/>
      <c r="D886" s="13"/>
      <c r="E886" s="15"/>
    </row>
    <row r="887" customFormat="false" ht="15" hidden="false" customHeight="false" outlineLevel="0" collapsed="false">
      <c r="A887" s="19"/>
      <c r="B887" s="18"/>
      <c r="C887" s="18"/>
      <c r="D887" s="18"/>
      <c r="E887" s="20"/>
    </row>
    <row r="888" customFormat="false" ht="15" hidden="false" customHeight="false" outlineLevel="0" collapsed="false">
      <c r="A888" s="14"/>
      <c r="B888" s="13"/>
      <c r="C888" s="13"/>
      <c r="D888" s="13"/>
      <c r="E888" s="15"/>
    </row>
    <row r="889" customFormat="false" ht="15" hidden="false" customHeight="false" outlineLevel="0" collapsed="false">
      <c r="A889" s="19"/>
      <c r="B889" s="18"/>
      <c r="C889" s="18"/>
      <c r="D889" s="18"/>
      <c r="E889" s="20"/>
    </row>
    <row r="890" customFormat="false" ht="15" hidden="false" customHeight="false" outlineLevel="0" collapsed="false">
      <c r="A890" s="14"/>
      <c r="B890" s="13"/>
      <c r="C890" s="13"/>
      <c r="D890" s="13"/>
      <c r="E890" s="15"/>
    </row>
    <row r="891" customFormat="false" ht="15" hidden="false" customHeight="false" outlineLevel="0" collapsed="false">
      <c r="A891" s="19"/>
      <c r="B891" s="18"/>
      <c r="C891" s="18"/>
      <c r="D891" s="18"/>
      <c r="E891" s="20"/>
    </row>
    <row r="892" customFormat="false" ht="15" hidden="false" customHeight="false" outlineLevel="0" collapsed="false">
      <c r="A892" s="14"/>
      <c r="B892" s="13"/>
      <c r="C892" s="13"/>
      <c r="D892" s="13"/>
      <c r="E892" s="15"/>
    </row>
    <row r="893" customFormat="false" ht="15" hidden="false" customHeight="false" outlineLevel="0" collapsed="false">
      <c r="A893" s="19"/>
      <c r="B893" s="18"/>
      <c r="C893" s="18"/>
      <c r="D893" s="18"/>
      <c r="E893" s="20"/>
    </row>
    <row r="894" customFormat="false" ht="15" hidden="false" customHeight="false" outlineLevel="0" collapsed="false">
      <c r="A894" s="14"/>
      <c r="B894" s="13"/>
      <c r="C894" s="13"/>
      <c r="D894" s="13"/>
      <c r="E894" s="15"/>
    </row>
    <row r="895" customFormat="false" ht="15" hidden="false" customHeight="false" outlineLevel="0" collapsed="false">
      <c r="A895" s="19"/>
      <c r="B895" s="18"/>
      <c r="C895" s="18"/>
      <c r="D895" s="18"/>
      <c r="E895" s="20"/>
    </row>
    <row r="896" customFormat="false" ht="15" hidden="false" customHeight="false" outlineLevel="0" collapsed="false">
      <c r="A896" s="14"/>
      <c r="B896" s="13"/>
      <c r="C896" s="13"/>
      <c r="D896" s="13"/>
      <c r="E896" s="15"/>
    </row>
    <row r="897" customFormat="false" ht="15" hidden="false" customHeight="false" outlineLevel="0" collapsed="false">
      <c r="A897" s="19"/>
      <c r="B897" s="18"/>
      <c r="C897" s="18"/>
      <c r="D897" s="18"/>
      <c r="E897" s="20"/>
    </row>
    <row r="898" customFormat="false" ht="15" hidden="false" customHeight="false" outlineLevel="0" collapsed="false">
      <c r="A898" s="14"/>
      <c r="B898" s="13"/>
      <c r="C898" s="13"/>
      <c r="D898" s="13"/>
      <c r="E898" s="15"/>
    </row>
    <row r="899" customFormat="false" ht="15" hidden="false" customHeight="false" outlineLevel="0" collapsed="false">
      <c r="A899" s="19"/>
      <c r="B899" s="18"/>
      <c r="C899" s="18"/>
      <c r="D899" s="18"/>
      <c r="E899" s="20"/>
    </row>
    <row r="900" customFormat="false" ht="15" hidden="false" customHeight="false" outlineLevel="0" collapsed="false">
      <c r="A900" s="14"/>
      <c r="B900" s="13"/>
      <c r="C900" s="13"/>
      <c r="D900" s="13"/>
      <c r="E900" s="15"/>
    </row>
    <row r="901" customFormat="false" ht="15" hidden="false" customHeight="false" outlineLevel="0" collapsed="false">
      <c r="A901" s="19"/>
      <c r="B901" s="18"/>
      <c r="C901" s="18"/>
      <c r="D901" s="18"/>
      <c r="E901" s="20"/>
    </row>
    <row r="902" customFormat="false" ht="15" hidden="false" customHeight="false" outlineLevel="0" collapsed="false">
      <c r="A902" s="14"/>
      <c r="B902" s="13"/>
      <c r="C902" s="13"/>
      <c r="D902" s="13"/>
      <c r="E902" s="15"/>
    </row>
    <row r="903" customFormat="false" ht="15" hidden="false" customHeight="false" outlineLevel="0" collapsed="false">
      <c r="A903" s="19"/>
      <c r="B903" s="18"/>
      <c r="C903" s="18"/>
      <c r="D903" s="18"/>
      <c r="E903" s="20"/>
    </row>
    <row r="904" customFormat="false" ht="15" hidden="false" customHeight="false" outlineLevel="0" collapsed="false">
      <c r="A904" s="14"/>
      <c r="B904" s="13"/>
      <c r="C904" s="13"/>
      <c r="D904" s="13"/>
      <c r="E904" s="15"/>
    </row>
    <row r="905" customFormat="false" ht="15" hidden="false" customHeight="false" outlineLevel="0" collapsed="false">
      <c r="A905" s="19"/>
      <c r="B905" s="18"/>
      <c r="C905" s="18"/>
      <c r="D905" s="18"/>
      <c r="E905" s="20"/>
    </row>
    <row r="906" customFormat="false" ht="15" hidden="false" customHeight="false" outlineLevel="0" collapsed="false">
      <c r="A906" s="14"/>
      <c r="B906" s="13"/>
      <c r="C906" s="13"/>
      <c r="D906" s="13"/>
      <c r="E906" s="15"/>
    </row>
    <row r="907" customFormat="false" ht="15" hidden="false" customHeight="false" outlineLevel="0" collapsed="false">
      <c r="A907" s="19"/>
      <c r="B907" s="18"/>
      <c r="C907" s="18"/>
      <c r="D907" s="18"/>
      <c r="E907" s="20"/>
    </row>
    <row r="908" customFormat="false" ht="15" hidden="false" customHeight="false" outlineLevel="0" collapsed="false">
      <c r="A908" s="14"/>
      <c r="B908" s="13"/>
      <c r="C908" s="13"/>
      <c r="D908" s="13"/>
      <c r="E908" s="15"/>
    </row>
    <row r="909" customFormat="false" ht="15" hidden="false" customHeight="false" outlineLevel="0" collapsed="false">
      <c r="A909" s="19"/>
      <c r="B909" s="18"/>
      <c r="C909" s="18"/>
      <c r="D909" s="18"/>
      <c r="E909" s="20"/>
    </row>
    <row r="910" customFormat="false" ht="15" hidden="false" customHeight="false" outlineLevel="0" collapsed="false">
      <c r="A910" s="14"/>
      <c r="B910" s="13"/>
      <c r="C910" s="13"/>
      <c r="D910" s="13"/>
      <c r="E910" s="15"/>
    </row>
    <row r="911" customFormat="false" ht="15" hidden="false" customHeight="false" outlineLevel="0" collapsed="false">
      <c r="A911" s="19"/>
      <c r="B911" s="18"/>
      <c r="C911" s="18"/>
      <c r="D911" s="18"/>
      <c r="E911" s="20"/>
    </row>
    <row r="912" customFormat="false" ht="15" hidden="false" customHeight="false" outlineLevel="0" collapsed="false">
      <c r="A912" s="14"/>
      <c r="B912" s="13"/>
      <c r="C912" s="13"/>
      <c r="D912" s="13"/>
      <c r="E912" s="15"/>
    </row>
    <row r="913" customFormat="false" ht="15" hidden="false" customHeight="false" outlineLevel="0" collapsed="false">
      <c r="A913" s="19"/>
      <c r="B913" s="18"/>
      <c r="C913" s="18"/>
      <c r="D913" s="18"/>
      <c r="E913" s="20"/>
    </row>
    <row r="914" customFormat="false" ht="15" hidden="false" customHeight="false" outlineLevel="0" collapsed="false">
      <c r="A914" s="14"/>
      <c r="B914" s="13"/>
      <c r="C914" s="13"/>
      <c r="D914" s="13"/>
      <c r="E914" s="15"/>
    </row>
    <row r="915" customFormat="false" ht="15" hidden="false" customHeight="false" outlineLevel="0" collapsed="false">
      <c r="A915" s="19"/>
      <c r="B915" s="18"/>
      <c r="C915" s="18"/>
      <c r="D915" s="18"/>
      <c r="E915" s="20"/>
    </row>
    <row r="916" customFormat="false" ht="15" hidden="false" customHeight="false" outlineLevel="0" collapsed="false">
      <c r="A916" s="14"/>
      <c r="B916" s="13"/>
      <c r="C916" s="13"/>
      <c r="D916" s="13"/>
      <c r="E916" s="15"/>
    </row>
    <row r="917" customFormat="false" ht="15" hidden="false" customHeight="false" outlineLevel="0" collapsed="false">
      <c r="A917" s="19"/>
      <c r="B917" s="18"/>
      <c r="C917" s="18"/>
      <c r="D917" s="18"/>
      <c r="E917" s="20"/>
    </row>
    <row r="918" customFormat="false" ht="15" hidden="false" customHeight="false" outlineLevel="0" collapsed="false">
      <c r="A918" s="14"/>
      <c r="B918" s="13"/>
      <c r="C918" s="13"/>
      <c r="D918" s="13"/>
      <c r="E918" s="15"/>
    </row>
    <row r="919" customFormat="false" ht="15" hidden="false" customHeight="false" outlineLevel="0" collapsed="false">
      <c r="A919" s="19"/>
      <c r="B919" s="18"/>
      <c r="C919" s="18"/>
      <c r="D919" s="18"/>
      <c r="E919" s="20"/>
    </row>
    <row r="920" customFormat="false" ht="15" hidden="false" customHeight="false" outlineLevel="0" collapsed="false">
      <c r="A920" s="14"/>
      <c r="B920" s="13"/>
      <c r="C920" s="13"/>
      <c r="D920" s="13"/>
      <c r="E920" s="15"/>
    </row>
    <row r="921" customFormat="false" ht="15" hidden="false" customHeight="false" outlineLevel="0" collapsed="false">
      <c r="A921" s="19"/>
      <c r="B921" s="18"/>
      <c r="C921" s="18"/>
      <c r="D921" s="18"/>
      <c r="E921" s="20"/>
    </row>
    <row r="922" customFormat="false" ht="15" hidden="false" customHeight="false" outlineLevel="0" collapsed="false">
      <c r="A922" s="14"/>
      <c r="B922" s="13"/>
      <c r="C922" s="13"/>
      <c r="D922" s="13"/>
      <c r="E922" s="15"/>
    </row>
    <row r="923" customFormat="false" ht="15" hidden="false" customHeight="false" outlineLevel="0" collapsed="false">
      <c r="A923" s="19"/>
      <c r="B923" s="18"/>
      <c r="C923" s="18"/>
      <c r="D923" s="18"/>
      <c r="E923" s="20"/>
    </row>
    <row r="924" customFormat="false" ht="15" hidden="false" customHeight="false" outlineLevel="0" collapsed="false">
      <c r="A924" s="14"/>
      <c r="B924" s="13"/>
      <c r="C924" s="13"/>
      <c r="D924" s="13"/>
      <c r="E924" s="15"/>
    </row>
    <row r="925" customFormat="false" ht="15" hidden="false" customHeight="false" outlineLevel="0" collapsed="false">
      <c r="A925" s="19"/>
      <c r="B925" s="18"/>
      <c r="C925" s="18"/>
      <c r="D925" s="18"/>
      <c r="E925" s="20"/>
    </row>
    <row r="926" customFormat="false" ht="15" hidden="false" customHeight="false" outlineLevel="0" collapsed="false">
      <c r="A926" s="14"/>
      <c r="B926" s="13"/>
      <c r="C926" s="13"/>
      <c r="D926" s="13"/>
      <c r="E926" s="15"/>
    </row>
    <row r="927" customFormat="false" ht="15" hidden="false" customHeight="false" outlineLevel="0" collapsed="false">
      <c r="A927" s="19"/>
      <c r="B927" s="18"/>
      <c r="C927" s="18"/>
      <c r="D927" s="18"/>
      <c r="E927" s="20"/>
    </row>
    <row r="928" customFormat="false" ht="15" hidden="false" customHeight="false" outlineLevel="0" collapsed="false">
      <c r="A928" s="14"/>
      <c r="B928" s="13"/>
      <c r="C928" s="13"/>
      <c r="D928" s="13"/>
      <c r="E928" s="15"/>
    </row>
    <row r="929" customFormat="false" ht="15" hidden="false" customHeight="false" outlineLevel="0" collapsed="false">
      <c r="A929" s="19"/>
      <c r="B929" s="18"/>
      <c r="C929" s="18"/>
      <c r="D929" s="18"/>
      <c r="E929" s="20"/>
    </row>
    <row r="930" customFormat="false" ht="15" hidden="false" customHeight="false" outlineLevel="0" collapsed="false">
      <c r="A930" s="14"/>
      <c r="B930" s="13"/>
      <c r="C930" s="13"/>
      <c r="D930" s="13"/>
      <c r="E930" s="15"/>
    </row>
    <row r="931" customFormat="false" ht="15" hidden="false" customHeight="false" outlineLevel="0" collapsed="false">
      <c r="A931" s="19"/>
      <c r="B931" s="18"/>
      <c r="C931" s="18"/>
      <c r="D931" s="18"/>
      <c r="E931" s="20"/>
    </row>
    <row r="932" customFormat="false" ht="15" hidden="false" customHeight="false" outlineLevel="0" collapsed="false">
      <c r="A932" s="14"/>
      <c r="B932" s="13"/>
      <c r="C932" s="13"/>
      <c r="D932" s="13"/>
      <c r="E932" s="15"/>
    </row>
    <row r="933" customFormat="false" ht="15" hidden="false" customHeight="false" outlineLevel="0" collapsed="false">
      <c r="A933" s="19"/>
      <c r="B933" s="18"/>
      <c r="C933" s="18"/>
      <c r="D933" s="18"/>
      <c r="E933" s="20"/>
    </row>
    <row r="934" customFormat="false" ht="15" hidden="false" customHeight="false" outlineLevel="0" collapsed="false">
      <c r="A934" s="14"/>
      <c r="B934" s="13"/>
      <c r="C934" s="13"/>
      <c r="D934" s="13"/>
      <c r="E934" s="15"/>
    </row>
    <row r="935" customFormat="false" ht="15" hidden="false" customHeight="false" outlineLevel="0" collapsed="false">
      <c r="A935" s="19"/>
      <c r="B935" s="18"/>
      <c r="C935" s="18"/>
      <c r="D935" s="18"/>
      <c r="E935" s="20"/>
    </row>
    <row r="936" customFormat="false" ht="15" hidden="false" customHeight="false" outlineLevel="0" collapsed="false">
      <c r="A936" s="14"/>
      <c r="B936" s="13"/>
      <c r="C936" s="13"/>
      <c r="D936" s="13"/>
      <c r="E936" s="15"/>
    </row>
    <row r="937" customFormat="false" ht="15" hidden="false" customHeight="false" outlineLevel="0" collapsed="false">
      <c r="A937" s="19"/>
      <c r="B937" s="18"/>
      <c r="C937" s="18"/>
      <c r="D937" s="18"/>
      <c r="E937" s="20"/>
    </row>
    <row r="938" customFormat="false" ht="15" hidden="false" customHeight="false" outlineLevel="0" collapsed="false">
      <c r="A938" s="14"/>
      <c r="B938" s="13"/>
      <c r="C938" s="13"/>
      <c r="D938" s="13"/>
      <c r="E938" s="15"/>
    </row>
    <row r="939" customFormat="false" ht="15" hidden="false" customHeight="false" outlineLevel="0" collapsed="false">
      <c r="A939" s="19"/>
      <c r="B939" s="18"/>
      <c r="C939" s="18"/>
      <c r="D939" s="18"/>
      <c r="E939" s="20"/>
    </row>
    <row r="940" customFormat="false" ht="15" hidden="false" customHeight="false" outlineLevel="0" collapsed="false">
      <c r="A940" s="14"/>
      <c r="B940" s="13"/>
      <c r="C940" s="13"/>
      <c r="D940" s="13"/>
      <c r="E940" s="15"/>
    </row>
    <row r="941" customFormat="false" ht="15" hidden="false" customHeight="false" outlineLevel="0" collapsed="false">
      <c r="A941" s="19"/>
      <c r="B941" s="18"/>
      <c r="C941" s="18"/>
      <c r="D941" s="18"/>
      <c r="E941" s="20"/>
    </row>
    <row r="942" customFormat="false" ht="15" hidden="false" customHeight="false" outlineLevel="0" collapsed="false">
      <c r="A942" s="14"/>
      <c r="B942" s="13"/>
      <c r="C942" s="13"/>
      <c r="D942" s="13"/>
      <c r="E942" s="15"/>
    </row>
    <row r="943" customFormat="false" ht="15" hidden="false" customHeight="false" outlineLevel="0" collapsed="false">
      <c r="A943" s="19"/>
      <c r="B943" s="18"/>
      <c r="C943" s="18"/>
      <c r="D943" s="18"/>
      <c r="E943" s="20"/>
    </row>
    <row r="944" customFormat="false" ht="15" hidden="false" customHeight="false" outlineLevel="0" collapsed="false">
      <c r="A944" s="14"/>
      <c r="B944" s="13"/>
      <c r="C944" s="13"/>
      <c r="D944" s="13"/>
      <c r="E944" s="15"/>
    </row>
    <row r="945" customFormat="false" ht="15" hidden="false" customHeight="false" outlineLevel="0" collapsed="false">
      <c r="A945" s="19"/>
      <c r="B945" s="18"/>
      <c r="C945" s="18"/>
      <c r="D945" s="18"/>
      <c r="E945" s="20"/>
    </row>
    <row r="946" customFormat="false" ht="15" hidden="false" customHeight="false" outlineLevel="0" collapsed="false">
      <c r="A946" s="14"/>
      <c r="B946" s="13"/>
      <c r="C946" s="13"/>
      <c r="D946" s="13"/>
      <c r="E946" s="15"/>
    </row>
    <row r="947" customFormat="false" ht="15" hidden="false" customHeight="false" outlineLevel="0" collapsed="false">
      <c r="A947" s="19"/>
      <c r="B947" s="18"/>
      <c r="C947" s="18"/>
      <c r="D947" s="18"/>
      <c r="E947" s="20"/>
    </row>
    <row r="948" customFormat="false" ht="15" hidden="false" customHeight="false" outlineLevel="0" collapsed="false">
      <c r="A948" s="14"/>
      <c r="B948" s="13"/>
      <c r="C948" s="13"/>
      <c r="D948" s="13"/>
      <c r="E948" s="15"/>
    </row>
    <row r="949" customFormat="false" ht="15" hidden="false" customHeight="false" outlineLevel="0" collapsed="false">
      <c r="A949" s="19"/>
      <c r="B949" s="18"/>
      <c r="C949" s="18"/>
      <c r="D949" s="18"/>
      <c r="E949" s="20"/>
    </row>
    <row r="950" customFormat="false" ht="15" hidden="false" customHeight="false" outlineLevel="0" collapsed="false">
      <c r="A950" s="14"/>
      <c r="B950" s="13"/>
      <c r="C950" s="13"/>
      <c r="D950" s="13"/>
      <c r="E950" s="15"/>
    </row>
    <row r="951" customFormat="false" ht="15" hidden="false" customHeight="false" outlineLevel="0" collapsed="false">
      <c r="A951" s="19"/>
      <c r="B951" s="18"/>
      <c r="C951" s="18"/>
      <c r="D951" s="18"/>
      <c r="E951" s="20"/>
    </row>
    <row r="952" customFormat="false" ht="15" hidden="false" customHeight="false" outlineLevel="0" collapsed="false">
      <c r="A952" s="14"/>
      <c r="B952" s="13"/>
      <c r="C952" s="13"/>
      <c r="D952" s="13"/>
      <c r="E952" s="15"/>
    </row>
    <row r="953" customFormat="false" ht="15" hidden="false" customHeight="false" outlineLevel="0" collapsed="false">
      <c r="A953" s="19"/>
      <c r="B953" s="18"/>
      <c r="C953" s="18"/>
      <c r="D953" s="18"/>
      <c r="E953" s="20"/>
    </row>
    <row r="954" customFormat="false" ht="15" hidden="false" customHeight="false" outlineLevel="0" collapsed="false">
      <c r="A954" s="14"/>
      <c r="B954" s="13"/>
      <c r="C954" s="13"/>
      <c r="D954" s="13"/>
      <c r="E954" s="15"/>
    </row>
    <row r="955" customFormat="false" ht="15" hidden="false" customHeight="false" outlineLevel="0" collapsed="false">
      <c r="A955" s="19"/>
      <c r="B955" s="18"/>
      <c r="C955" s="18"/>
      <c r="D955" s="18"/>
      <c r="E955" s="20"/>
    </row>
    <row r="956" customFormat="false" ht="15" hidden="false" customHeight="false" outlineLevel="0" collapsed="false">
      <c r="A956" s="14"/>
      <c r="B956" s="13"/>
      <c r="C956" s="13"/>
      <c r="D956" s="13"/>
      <c r="E956" s="15"/>
    </row>
    <row r="957" customFormat="false" ht="15" hidden="false" customHeight="false" outlineLevel="0" collapsed="false">
      <c r="A957" s="19"/>
      <c r="B957" s="18"/>
      <c r="C957" s="18"/>
      <c r="D957" s="18"/>
      <c r="E957" s="20"/>
    </row>
    <row r="958" customFormat="false" ht="15" hidden="false" customHeight="false" outlineLevel="0" collapsed="false">
      <c r="A958" s="14"/>
      <c r="B958" s="13"/>
      <c r="C958" s="13"/>
      <c r="D958" s="13"/>
      <c r="E958" s="15"/>
    </row>
    <row r="959" customFormat="false" ht="15" hidden="false" customHeight="false" outlineLevel="0" collapsed="false">
      <c r="A959" s="19"/>
      <c r="B959" s="18"/>
      <c r="C959" s="18"/>
      <c r="D959" s="18"/>
      <c r="E959" s="20"/>
    </row>
    <row r="960" customFormat="false" ht="15" hidden="false" customHeight="false" outlineLevel="0" collapsed="false">
      <c r="A960" s="14"/>
      <c r="B960" s="13"/>
      <c r="C960" s="13"/>
      <c r="D960" s="13"/>
      <c r="E960" s="15"/>
    </row>
    <row r="961" customFormat="false" ht="15" hidden="false" customHeight="false" outlineLevel="0" collapsed="false">
      <c r="A961" s="19"/>
      <c r="B961" s="18"/>
      <c r="C961" s="18"/>
      <c r="D961" s="18"/>
      <c r="E961" s="20"/>
    </row>
    <row r="962" customFormat="false" ht="15" hidden="false" customHeight="false" outlineLevel="0" collapsed="false">
      <c r="A962" s="14"/>
      <c r="B962" s="13"/>
      <c r="C962" s="13"/>
      <c r="D962" s="13"/>
      <c r="E962" s="15"/>
    </row>
    <row r="963" customFormat="false" ht="15" hidden="false" customHeight="false" outlineLevel="0" collapsed="false">
      <c r="A963" s="19"/>
      <c r="B963" s="18"/>
      <c r="C963" s="18"/>
      <c r="D963" s="18"/>
      <c r="E963" s="20"/>
    </row>
    <row r="964" customFormat="false" ht="15" hidden="false" customHeight="false" outlineLevel="0" collapsed="false">
      <c r="A964" s="14"/>
      <c r="B964" s="13"/>
      <c r="C964" s="13"/>
      <c r="D964" s="13"/>
      <c r="E964" s="15"/>
    </row>
    <row r="965" customFormat="false" ht="15" hidden="false" customHeight="false" outlineLevel="0" collapsed="false">
      <c r="A965" s="19"/>
      <c r="B965" s="18"/>
      <c r="C965" s="18"/>
      <c r="D965" s="18"/>
      <c r="E965" s="20"/>
    </row>
    <row r="966" customFormat="false" ht="15" hidden="false" customHeight="false" outlineLevel="0" collapsed="false">
      <c r="A966" s="14"/>
      <c r="B966" s="13"/>
      <c r="C966" s="13"/>
      <c r="D966" s="13"/>
      <c r="E966" s="15"/>
    </row>
    <row r="967" customFormat="false" ht="15" hidden="false" customHeight="false" outlineLevel="0" collapsed="false">
      <c r="A967" s="19"/>
      <c r="B967" s="18"/>
      <c r="C967" s="18"/>
      <c r="D967" s="18"/>
      <c r="E967" s="20"/>
    </row>
    <row r="968" customFormat="false" ht="15" hidden="false" customHeight="false" outlineLevel="0" collapsed="false">
      <c r="A968" s="14"/>
      <c r="B968" s="13"/>
      <c r="C968" s="13"/>
      <c r="D968" s="13"/>
      <c r="E968" s="15"/>
    </row>
    <row r="969" customFormat="false" ht="15" hidden="false" customHeight="false" outlineLevel="0" collapsed="false">
      <c r="A969" s="19"/>
      <c r="B969" s="18"/>
      <c r="C969" s="18"/>
      <c r="D969" s="18"/>
      <c r="E969" s="20"/>
    </row>
    <row r="970" customFormat="false" ht="15" hidden="false" customHeight="false" outlineLevel="0" collapsed="false">
      <c r="A970" s="14"/>
      <c r="B970" s="13"/>
      <c r="C970" s="13"/>
      <c r="D970" s="13"/>
      <c r="E970" s="15"/>
    </row>
    <row r="971" customFormat="false" ht="15" hidden="false" customHeight="false" outlineLevel="0" collapsed="false">
      <c r="A971" s="19"/>
      <c r="B971" s="18"/>
      <c r="C971" s="18"/>
      <c r="D971" s="18"/>
      <c r="E971" s="20"/>
    </row>
    <row r="972" customFormat="false" ht="15" hidden="false" customHeight="false" outlineLevel="0" collapsed="false">
      <c r="A972" s="14"/>
      <c r="B972" s="13"/>
      <c r="C972" s="13"/>
      <c r="D972" s="13"/>
      <c r="E972" s="15"/>
    </row>
    <row r="973" customFormat="false" ht="15" hidden="false" customHeight="false" outlineLevel="0" collapsed="false">
      <c r="A973" s="19"/>
      <c r="B973" s="18"/>
      <c r="C973" s="18"/>
      <c r="D973" s="18"/>
      <c r="E973" s="20"/>
    </row>
    <row r="974" customFormat="false" ht="15" hidden="false" customHeight="false" outlineLevel="0" collapsed="false">
      <c r="A974" s="14"/>
      <c r="B974" s="13"/>
      <c r="C974" s="13"/>
      <c r="D974" s="13"/>
      <c r="E974" s="15"/>
    </row>
    <row r="975" customFormat="false" ht="15" hidden="false" customHeight="false" outlineLevel="0" collapsed="false">
      <c r="A975" s="19"/>
      <c r="B975" s="18"/>
      <c r="C975" s="18"/>
      <c r="D975" s="18"/>
      <c r="E975" s="20"/>
    </row>
    <row r="976" customFormat="false" ht="15" hidden="false" customHeight="false" outlineLevel="0" collapsed="false">
      <c r="A976" s="14"/>
      <c r="B976" s="13"/>
      <c r="C976" s="13"/>
      <c r="D976" s="13"/>
      <c r="E976" s="15"/>
    </row>
    <row r="977" customFormat="false" ht="15" hidden="false" customHeight="false" outlineLevel="0" collapsed="false">
      <c r="A977" s="19"/>
      <c r="B977" s="18"/>
      <c r="C977" s="18"/>
      <c r="D977" s="18"/>
      <c r="E977" s="20"/>
    </row>
    <row r="978" customFormat="false" ht="15" hidden="false" customHeight="false" outlineLevel="0" collapsed="false">
      <c r="A978" s="14"/>
      <c r="B978" s="13"/>
      <c r="C978" s="13"/>
      <c r="D978" s="13"/>
      <c r="E978" s="15"/>
    </row>
    <row r="979" customFormat="false" ht="15" hidden="false" customHeight="false" outlineLevel="0" collapsed="false">
      <c r="A979" s="19"/>
      <c r="B979" s="18"/>
      <c r="C979" s="18"/>
      <c r="D979" s="18"/>
      <c r="E979" s="20"/>
    </row>
    <row r="980" customFormat="false" ht="15" hidden="false" customHeight="false" outlineLevel="0" collapsed="false">
      <c r="A980" s="14"/>
      <c r="B980" s="13"/>
      <c r="C980" s="13"/>
      <c r="D980" s="13"/>
      <c r="E980" s="15"/>
    </row>
    <row r="981" customFormat="false" ht="15" hidden="false" customHeight="false" outlineLevel="0" collapsed="false">
      <c r="A981" s="19"/>
      <c r="B981" s="18"/>
      <c r="C981" s="18"/>
      <c r="D981" s="18"/>
      <c r="E981" s="20"/>
    </row>
    <row r="982" customFormat="false" ht="15" hidden="false" customHeight="false" outlineLevel="0" collapsed="false">
      <c r="A982" s="14"/>
      <c r="B982" s="13"/>
      <c r="C982" s="13"/>
      <c r="D982" s="13"/>
      <c r="E982" s="15"/>
    </row>
    <row r="983" customFormat="false" ht="15" hidden="false" customHeight="false" outlineLevel="0" collapsed="false">
      <c r="A983" s="19"/>
      <c r="B983" s="18"/>
      <c r="C983" s="18"/>
      <c r="D983" s="18"/>
      <c r="E983" s="20"/>
    </row>
    <row r="984" customFormat="false" ht="15" hidden="false" customHeight="false" outlineLevel="0" collapsed="false">
      <c r="A984" s="14"/>
      <c r="B984" s="13"/>
      <c r="C984" s="13"/>
      <c r="D984" s="13"/>
      <c r="E984" s="15"/>
    </row>
    <row r="985" customFormat="false" ht="15" hidden="false" customHeight="false" outlineLevel="0" collapsed="false">
      <c r="A985" s="19"/>
      <c r="B985" s="18"/>
      <c r="C985" s="18"/>
      <c r="D985" s="18"/>
      <c r="E985" s="20"/>
    </row>
    <row r="986" customFormat="false" ht="15" hidden="false" customHeight="false" outlineLevel="0" collapsed="false">
      <c r="A986" s="14"/>
      <c r="B986" s="13"/>
      <c r="C986" s="13"/>
      <c r="D986" s="13"/>
      <c r="E986" s="15"/>
    </row>
    <row r="987" customFormat="false" ht="15" hidden="false" customHeight="false" outlineLevel="0" collapsed="false">
      <c r="A987" s="19"/>
      <c r="B987" s="18"/>
      <c r="C987" s="18"/>
      <c r="D987" s="18"/>
      <c r="E987" s="20"/>
    </row>
    <row r="988" customFormat="false" ht="15" hidden="false" customHeight="false" outlineLevel="0" collapsed="false">
      <c r="A988" s="14"/>
      <c r="B988" s="13"/>
      <c r="C988" s="13"/>
      <c r="D988" s="13"/>
      <c r="E988" s="15"/>
    </row>
    <row r="989" customFormat="false" ht="15" hidden="false" customHeight="false" outlineLevel="0" collapsed="false">
      <c r="A989" s="19"/>
      <c r="B989" s="18"/>
      <c r="C989" s="18"/>
      <c r="D989" s="18"/>
      <c r="E989" s="20"/>
    </row>
    <row r="990" customFormat="false" ht="15" hidden="false" customHeight="false" outlineLevel="0" collapsed="false">
      <c r="A990" s="14"/>
      <c r="B990" s="13"/>
      <c r="C990" s="13"/>
      <c r="D990" s="13"/>
      <c r="E990" s="15"/>
    </row>
    <row r="991" customFormat="false" ht="15" hidden="false" customHeight="false" outlineLevel="0" collapsed="false">
      <c r="A991" s="19"/>
      <c r="B991" s="18"/>
      <c r="C991" s="18"/>
      <c r="D991" s="18"/>
      <c r="E991" s="20"/>
    </row>
    <row r="992" customFormat="false" ht="15" hidden="false" customHeight="false" outlineLevel="0" collapsed="false">
      <c r="A992" s="14"/>
      <c r="B992" s="13"/>
      <c r="C992" s="13"/>
      <c r="D992" s="13"/>
      <c r="E992" s="15"/>
    </row>
    <row r="993" customFormat="false" ht="15" hidden="false" customHeight="false" outlineLevel="0" collapsed="false">
      <c r="A993" s="19"/>
      <c r="B993" s="18"/>
      <c r="C993" s="18"/>
      <c r="D993" s="18"/>
      <c r="E993" s="20"/>
    </row>
    <row r="994" customFormat="false" ht="15" hidden="false" customHeight="false" outlineLevel="0" collapsed="false">
      <c r="A994" s="14"/>
      <c r="B994" s="13"/>
      <c r="C994" s="13"/>
      <c r="D994" s="13"/>
      <c r="E994" s="15"/>
    </row>
    <row r="995" customFormat="false" ht="15" hidden="false" customHeight="false" outlineLevel="0" collapsed="false">
      <c r="A995" s="19"/>
      <c r="B995" s="18"/>
      <c r="C995" s="18"/>
      <c r="D995" s="18"/>
      <c r="E995" s="20"/>
    </row>
    <row r="996" customFormat="false" ht="15" hidden="false" customHeight="false" outlineLevel="0" collapsed="false">
      <c r="A996" s="14"/>
      <c r="B996" s="13"/>
      <c r="C996" s="13"/>
      <c r="D996" s="13"/>
      <c r="E996" s="15"/>
    </row>
    <row r="997" customFormat="false" ht="15" hidden="false" customHeight="false" outlineLevel="0" collapsed="false">
      <c r="A997" s="19"/>
      <c r="B997" s="18"/>
      <c r="C997" s="18"/>
      <c r="D997" s="18"/>
      <c r="E997" s="20"/>
    </row>
    <row r="998" customFormat="false" ht="15" hidden="false" customHeight="false" outlineLevel="0" collapsed="false">
      <c r="A998" s="14"/>
      <c r="B998" s="13"/>
      <c r="C998" s="13"/>
      <c r="D998" s="13"/>
      <c r="E998" s="15"/>
    </row>
    <row r="999" customFormat="false" ht="15" hidden="false" customHeight="false" outlineLevel="0" collapsed="false">
      <c r="A999" s="19"/>
      <c r="B999" s="18"/>
      <c r="C999" s="18"/>
      <c r="D999" s="18"/>
      <c r="E999" s="20"/>
    </row>
    <row r="1000" customFormat="false" ht="15" hidden="false" customHeight="false" outlineLevel="0" collapsed="false">
      <c r="A1000" s="14"/>
      <c r="B1000" s="13"/>
      <c r="C1000" s="13"/>
      <c r="D1000" s="13"/>
      <c r="E1000" s="15"/>
    </row>
    <row r="1001" customFormat="false" ht="15" hidden="false" customHeight="false" outlineLevel="0" collapsed="false">
      <c r="A1001" s="19"/>
      <c r="B1001" s="18"/>
      <c r="C1001" s="18"/>
      <c r="D1001" s="18"/>
      <c r="E1001" s="20"/>
    </row>
  </sheetData>
  <sheetProtection sheet="true" formatCells="false" formatColumns="false" formatRows="false" sort="false" autoFilter="false"/>
  <dataValidations count="1">
    <dataValidation allowBlank="true" errorStyle="stop" operator="between" showDropDown="false" showErrorMessage="false" showInputMessage="false" sqref="B2:B1001" type="list">
      <formula1>Jobs!$A$2:$A$51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11" min="5" style="0" width="14"/>
    <col collapsed="false" customWidth="true" hidden="false" outlineLevel="0" max="12" min="12" style="0" width="12"/>
    <col collapsed="false" customWidth="true" hidden="false" outlineLevel="0" max="13" min="13" style="0" width="14"/>
    <col collapsed="false" customWidth="true" hidden="false" outlineLevel="0" max="14" min="14" style="0" width="15"/>
    <col collapsed="false" customWidth="true" hidden="false" outlineLevel="0" max="15" min="15" style="0" width="14"/>
    <col collapsed="false" customWidth="true" hidden="false" outlineLevel="0" max="16" min="16" style="0" width="16"/>
    <col collapsed="false" customWidth="true" hidden="false" outlineLevel="0" max="19" min="17" style="0" width="15"/>
    <col collapsed="false" customWidth="true" hidden="false" outlineLevel="0" max="20" min="20" style="0" width="16"/>
  </cols>
  <sheetData>
    <row r="1" customFormat="false" ht="17.35" hidden="false" customHeight="false" outlineLevel="0" collapsed="false">
      <c r="A1" s="21" t="str">
        <f aca="false">Settings!B2&amp;" - Job Dashboard"</f>
        <v>Acme Renovations LLC - Job Dashboard</v>
      </c>
    </row>
    <row r="3" customFormat="false" ht="31.5" hidden="false" customHeight="true" outlineLevel="0" collapsed="false">
      <c r="A3" s="6" t="s">
        <v>27</v>
      </c>
      <c r="B3" s="6" t="s">
        <v>28</v>
      </c>
      <c r="C3" s="6" t="s">
        <v>30</v>
      </c>
      <c r="D3" s="6" t="s">
        <v>86</v>
      </c>
      <c r="E3" s="6" t="s">
        <v>87</v>
      </c>
      <c r="F3" s="6" t="s">
        <v>88</v>
      </c>
      <c r="G3" s="6" t="s">
        <v>89</v>
      </c>
      <c r="H3" s="6" t="s">
        <v>90</v>
      </c>
      <c r="I3" s="6" t="s">
        <v>91</v>
      </c>
      <c r="J3" s="6" t="s">
        <v>92</v>
      </c>
      <c r="K3" s="6" t="s">
        <v>93</v>
      </c>
      <c r="L3" s="6" t="s">
        <v>94</v>
      </c>
      <c r="M3" s="6" t="s">
        <v>95</v>
      </c>
      <c r="N3" s="6" t="s">
        <v>96</v>
      </c>
      <c r="O3" s="6" t="s">
        <v>97</v>
      </c>
      <c r="P3" s="6" t="s">
        <v>98</v>
      </c>
      <c r="Q3" s="6" t="s">
        <v>99</v>
      </c>
      <c r="R3" s="6" t="s">
        <v>100</v>
      </c>
      <c r="S3" s="6" t="s">
        <v>101</v>
      </c>
      <c r="T3" s="6" t="s">
        <v>102</v>
      </c>
    </row>
    <row r="4" customFormat="false" ht="15" hidden="false" customHeight="false" outlineLevel="0" collapsed="false">
      <c r="A4" s="22" t="str">
        <f aca="false">IF(Jobs!A2="","",Jobs!A2)</f>
        <v>J-101</v>
      </c>
      <c r="B4" s="22" t="str">
        <f aca="false">IF(A4="","",Jobs!B2)</f>
        <v>Miller</v>
      </c>
      <c r="C4" s="22" t="str">
        <f aca="false">IF(A4="","",Jobs!D2)</f>
        <v>Active</v>
      </c>
      <c r="D4" s="23" t="n">
        <f aca="false">IF(A4="","",Jobs!F2+Jobs!G2)</f>
        <v>50500</v>
      </c>
      <c r="E4" s="23" t="n">
        <f aca="false">IF(A4="","",Jobs!M2)</f>
        <v>34000</v>
      </c>
      <c r="F4" s="16" t="n">
        <f aca="false">IF($A4="","",SUMIFS('Costs Log'!$F$2:$F$1001,'Costs Log'!$B$2:$B$1001,$A4,'Costs Log'!$C$2:$C$1001,"Labor"))</f>
        <v>9700</v>
      </c>
      <c r="G4" s="16" t="n">
        <f aca="false">IF($A4="","",SUMIFS('Costs Log'!$F$2:$F$1001,'Costs Log'!$B$2:$B$1001,$A4,'Costs Log'!$C$2:$C$1001,"Materials"))</f>
        <v>6200</v>
      </c>
      <c r="H4" s="16" t="n">
        <f aca="false">IF($A4="","",SUMIFS('Costs Log'!$F$2:$F$1001,'Costs Log'!$B$2:$B$1001,$A4,'Costs Log'!$C$2:$C$1001,"Subcontractors"))</f>
        <v>3800</v>
      </c>
      <c r="I4" s="16" t="n">
        <f aca="false">IF($A4="","",SUMIFS('Costs Log'!$F$2:$F$1001,'Costs Log'!$B$2:$B$1001,$A4,'Costs Log'!$C$2:$C$1001,"Equipment"))</f>
        <v>0</v>
      </c>
      <c r="J4" s="16" t="n">
        <f aca="false">IF($A4="","",SUMIFS('Costs Log'!$F$2:$F$1001,'Costs Log'!$B$2:$B$1001,$A4,'Costs Log'!$C$2:$C$1001,"Other"))</f>
        <v>0</v>
      </c>
      <c r="K4" s="16" t="n">
        <f aca="false">IF(A4="","",SUM(F4:J4))</f>
        <v>19700</v>
      </c>
      <c r="L4" s="17" t="n">
        <f aca="false">IF(OR(A4="",E4=0),"",K4/E4)</f>
        <v>0.579411764705882</v>
      </c>
      <c r="M4" s="16" t="n">
        <f aca="false">IF(A4="","",Jobs!H2-F4)</f>
        <v>4300</v>
      </c>
      <c r="N4" s="16" t="n">
        <f aca="false">IF(A4="","",Jobs!I2-G4)</f>
        <v>5800</v>
      </c>
      <c r="O4" s="16" t="n">
        <f aca="false">IF(A4="","",SUMIFS('Payments Log'!$E$2:$E$1001,'Payments Log'!$B$2:$B$1001,A4))</f>
        <v>33600</v>
      </c>
      <c r="P4" s="16" t="n">
        <f aca="false">IF(A4="","",D4-O4)</f>
        <v>16900</v>
      </c>
      <c r="Q4" s="16" t="n">
        <f aca="false">IF(A4="","",O4-K4)</f>
        <v>13900</v>
      </c>
      <c r="R4" s="16" t="n">
        <f aca="false">IF(OR(A4="",C4="Bidding"),"",IFERROR(Settings!$B$4*12*D4/SUMIFS($D$4:$D$53,$C$4:$C$53,"&lt;&gt;Bidding"),0))</f>
        <v>6808.98876404494</v>
      </c>
      <c r="S4" s="17" t="n">
        <f aca="false">IF(OR(A4="",D4=0),"",(D4-MAX(E4,K4)-N(R4))/D4)</f>
        <v>0.191901212593169</v>
      </c>
      <c r="T4" s="24" t="str">
        <f aca="false">IF(A4="","",IF(K4&gt;E4,"OVER BUDGET",IF(S4&lt;Settings!$B$5,"Low margin","OK")))</f>
        <v>OK</v>
      </c>
    </row>
    <row r="5" customFormat="false" ht="15" hidden="false" customHeight="false" outlineLevel="0" collapsed="false">
      <c r="A5" s="22" t="str">
        <f aca="false">IF(Jobs!A3="","",Jobs!A3)</f>
        <v>J-102</v>
      </c>
      <c r="B5" s="22" t="str">
        <f aca="false">IF(A5="","",Jobs!B3)</f>
        <v>Okafor</v>
      </c>
      <c r="C5" s="22" t="str">
        <f aca="false">IF(A5="","",Jobs!D3)</f>
        <v>Complete</v>
      </c>
      <c r="D5" s="23" t="n">
        <f aca="false">IF(A5="","",Jobs!F3+Jobs!G3)</f>
        <v>22000</v>
      </c>
      <c r="E5" s="23" t="n">
        <f aca="false">IF(A5="","",Jobs!M3)</f>
        <v>14500</v>
      </c>
      <c r="F5" s="16" t="n">
        <f aca="false">IF($A5="","",SUMIFS('Costs Log'!$F$2:$F$1001,'Costs Log'!$B$2:$B$1001,$A5,'Costs Log'!$C$2:$C$1001,"Labor"))</f>
        <v>6900</v>
      </c>
      <c r="G5" s="16" t="n">
        <f aca="false">IF($A5="","",SUMIFS('Costs Log'!$F$2:$F$1001,'Costs Log'!$B$2:$B$1001,$A5,'Costs Log'!$C$2:$C$1001,"Materials"))</f>
        <v>7400</v>
      </c>
      <c r="H5" s="16" t="n">
        <f aca="false">IF($A5="","",SUMIFS('Costs Log'!$F$2:$F$1001,'Costs Log'!$B$2:$B$1001,$A5,'Costs Log'!$C$2:$C$1001,"Subcontractors"))</f>
        <v>0</v>
      </c>
      <c r="I5" s="16" t="n">
        <f aca="false">IF($A5="","",SUMIFS('Costs Log'!$F$2:$F$1001,'Costs Log'!$B$2:$B$1001,$A5,'Costs Log'!$C$2:$C$1001,"Equipment"))</f>
        <v>0</v>
      </c>
      <c r="J5" s="16" t="n">
        <f aca="false">IF($A5="","",SUMIFS('Costs Log'!$F$2:$F$1001,'Costs Log'!$B$2:$B$1001,$A5,'Costs Log'!$C$2:$C$1001,"Other"))</f>
        <v>0</v>
      </c>
      <c r="K5" s="16" t="n">
        <f aca="false">IF(A5="","",SUM(F5:J5))</f>
        <v>14300</v>
      </c>
      <c r="L5" s="17" t="n">
        <f aca="false">IF(OR(A5="",E5=0),"",K5/E5)</f>
        <v>0.986206896551724</v>
      </c>
      <c r="M5" s="16" t="n">
        <f aca="false">IF(A5="","",Jobs!H3-F5)</f>
        <v>-400</v>
      </c>
      <c r="N5" s="16" t="n">
        <f aca="false">IF(A5="","",Jobs!I3-G5)</f>
        <v>-400</v>
      </c>
      <c r="O5" s="16" t="n">
        <f aca="false">IF(A5="","",SUMIFS('Payments Log'!$E$2:$E$1001,'Payments Log'!$B$2:$B$1001,A5))</f>
        <v>22000</v>
      </c>
      <c r="P5" s="16" t="n">
        <f aca="false">IF(A5="","",D5-O5)</f>
        <v>0</v>
      </c>
      <c r="Q5" s="16" t="n">
        <f aca="false">IF(A5="","",O5-K5)</f>
        <v>7700</v>
      </c>
      <c r="R5" s="16" t="n">
        <f aca="false">IF(OR(A5="",C5="Bidding"),"",IFERROR(Settings!$B$4*12*D5/SUMIFS($D$4:$D$53,$C$4:$C$53,"&lt;&gt;Bidding"),0))</f>
        <v>2966.29213483146</v>
      </c>
      <c r="S5" s="17" t="n">
        <f aca="false">IF(OR(A5="",D5=0),"",(D5-MAX(E5,K5)-N(R5))/D5)</f>
        <v>0.206077630234934</v>
      </c>
      <c r="T5" s="24" t="str">
        <f aca="false">IF(A5="","",IF(K5&gt;E5,"OVER BUDGET",IF(S5&lt;Settings!$B$5,"Low margin","OK")))</f>
        <v>OK</v>
      </c>
    </row>
    <row r="6" customFormat="false" ht="15" hidden="false" customHeight="false" outlineLevel="0" collapsed="false">
      <c r="A6" s="22" t="str">
        <f aca="false">IF(Jobs!A4="","",Jobs!A4)</f>
        <v>J-103</v>
      </c>
      <c r="B6" s="22" t="str">
        <f aca="false">IF(A6="","",Jobs!B4)</f>
        <v>Chen</v>
      </c>
      <c r="C6" s="22" t="str">
        <f aca="false">IF(A6="","",Jobs!D4)</f>
        <v>Active</v>
      </c>
      <c r="D6" s="23" t="n">
        <f aca="false">IF(A6="","",Jobs!F4+Jobs!G4)</f>
        <v>61000</v>
      </c>
      <c r="E6" s="23" t="n">
        <f aca="false">IF(A6="","",Jobs!M4)</f>
        <v>45500</v>
      </c>
      <c r="F6" s="16" t="n">
        <f aca="false">IF($A6="","",SUMIFS('Costs Log'!$F$2:$F$1001,'Costs Log'!$B$2:$B$1001,$A6,'Costs Log'!$C$2:$C$1001,"Labor"))</f>
        <v>6100</v>
      </c>
      <c r="G6" s="16" t="n">
        <f aca="false">IF($A6="","",SUMIFS('Costs Log'!$F$2:$F$1001,'Costs Log'!$B$2:$B$1001,$A6,'Costs Log'!$C$2:$C$1001,"Materials"))</f>
        <v>5200</v>
      </c>
      <c r="H6" s="16" t="n">
        <f aca="false">IF($A6="","",SUMIFS('Costs Log'!$F$2:$F$1001,'Costs Log'!$B$2:$B$1001,$A6,'Costs Log'!$C$2:$C$1001,"Subcontractors"))</f>
        <v>0</v>
      </c>
      <c r="I6" s="16" t="n">
        <f aca="false">IF($A6="","",SUMIFS('Costs Log'!$F$2:$F$1001,'Costs Log'!$B$2:$B$1001,$A6,'Costs Log'!$C$2:$C$1001,"Equipment"))</f>
        <v>0</v>
      </c>
      <c r="J6" s="16" t="n">
        <f aca="false">IF($A6="","",SUMIFS('Costs Log'!$F$2:$F$1001,'Costs Log'!$B$2:$B$1001,$A6,'Costs Log'!$C$2:$C$1001,"Other"))</f>
        <v>0</v>
      </c>
      <c r="K6" s="16" t="n">
        <f aca="false">IF(A6="","",SUM(F6:J6))</f>
        <v>11300</v>
      </c>
      <c r="L6" s="17" t="n">
        <f aca="false">IF(OR(A6="",E6=0),"",K6/E6)</f>
        <v>0.248351648351648</v>
      </c>
      <c r="M6" s="16" t="n">
        <f aca="false">IF(A6="","",Jobs!H4-F6)</f>
        <v>11900</v>
      </c>
      <c r="N6" s="16" t="n">
        <f aca="false">IF(A6="","",Jobs!I4-G6)</f>
        <v>8800</v>
      </c>
      <c r="O6" s="16" t="n">
        <f aca="false">IF(A6="","",SUMIFS('Payments Log'!$E$2:$E$1001,'Payments Log'!$B$2:$B$1001,A6))</f>
        <v>15250</v>
      </c>
      <c r="P6" s="16" t="n">
        <f aca="false">IF(A6="","",D6-O6)</f>
        <v>45750</v>
      </c>
      <c r="Q6" s="16" t="n">
        <f aca="false">IF(A6="","",O6-K6)</f>
        <v>3950</v>
      </c>
      <c r="R6" s="16" t="n">
        <f aca="false">IF(OR(A6="",C6="Bidding"),"",IFERROR(Settings!$B$4*12*D6/SUMIFS($D$4:$D$53,$C$4:$C$53,"&lt;&gt;Bidding"),0))</f>
        <v>8224.7191011236</v>
      </c>
      <c r="S6" s="17" t="n">
        <f aca="false">IF(OR(A6="",D6=0),"",(D6-MAX(E6,K6)-N(R6))/D6)</f>
        <v>0.11926689998158</v>
      </c>
      <c r="T6" s="24" t="str">
        <f aca="false">IF(A6="","",IF(K6&gt;E6,"OVER BUDGET",IF(S6&lt;Settings!$B$5,"Low margin","OK")))</f>
        <v>OK</v>
      </c>
    </row>
    <row r="7" customFormat="false" ht="15" hidden="false" customHeight="false" outlineLevel="0" collapsed="false">
      <c r="A7" s="22" t="str">
        <f aca="false">IF(Jobs!A5="","",Jobs!A5)</f>
        <v/>
      </c>
      <c r="B7" s="22" t="str">
        <f aca="false">IF(A7="","",Jobs!B5)</f>
        <v/>
      </c>
      <c r="C7" s="22" t="str">
        <f aca="false">IF(A7="","",Jobs!D5)</f>
        <v/>
      </c>
      <c r="D7" s="23" t="str">
        <f aca="false">IF(A7="","",Jobs!F5+Jobs!G5)</f>
        <v/>
      </c>
      <c r="E7" s="23" t="str">
        <f aca="false">IF(A7="","",Jobs!M5)</f>
        <v/>
      </c>
      <c r="F7" s="16" t="str">
        <f aca="false">IF($A7="","",SUMIFS('Costs Log'!$F$2:$F$1001,'Costs Log'!$B$2:$B$1001,$A7,'Costs Log'!$C$2:$C$1001,"Labor"))</f>
        <v/>
      </c>
      <c r="G7" s="16" t="str">
        <f aca="false">IF($A7="","",SUMIFS('Costs Log'!$F$2:$F$1001,'Costs Log'!$B$2:$B$1001,$A7,'Costs Log'!$C$2:$C$1001,"Materials"))</f>
        <v/>
      </c>
      <c r="H7" s="16" t="str">
        <f aca="false">IF($A7="","",SUMIFS('Costs Log'!$F$2:$F$1001,'Costs Log'!$B$2:$B$1001,$A7,'Costs Log'!$C$2:$C$1001,"Subcontractors"))</f>
        <v/>
      </c>
      <c r="I7" s="16" t="str">
        <f aca="false">IF($A7="","",SUMIFS('Costs Log'!$F$2:$F$1001,'Costs Log'!$B$2:$B$1001,$A7,'Costs Log'!$C$2:$C$1001,"Equipment"))</f>
        <v/>
      </c>
      <c r="J7" s="16" t="str">
        <f aca="false">IF($A7="","",SUMIFS('Costs Log'!$F$2:$F$1001,'Costs Log'!$B$2:$B$1001,$A7,'Costs Log'!$C$2:$C$1001,"Other"))</f>
        <v/>
      </c>
      <c r="K7" s="16" t="str">
        <f aca="false">IF(A7="","",SUM(F7:J7))</f>
        <v/>
      </c>
      <c r="L7" s="17" t="str">
        <f aca="false">IF(OR(A7="",E7=0),"",K7/E7)</f>
        <v/>
      </c>
      <c r="M7" s="16" t="str">
        <f aca="false">IF(A7="","",Jobs!H5-F7)</f>
        <v/>
      </c>
      <c r="N7" s="16" t="str">
        <f aca="false">IF(A7="","",Jobs!I5-G7)</f>
        <v/>
      </c>
      <c r="O7" s="16" t="str">
        <f aca="false">IF(A7="","",SUMIFS('Payments Log'!$E$2:$E$1001,'Payments Log'!$B$2:$B$1001,A7))</f>
        <v/>
      </c>
      <c r="P7" s="16" t="str">
        <f aca="false">IF(A7="","",D7-O7)</f>
        <v/>
      </c>
      <c r="Q7" s="16" t="str">
        <f aca="false">IF(A7="","",O7-K7)</f>
        <v/>
      </c>
      <c r="R7" s="16" t="str">
        <f aca="false">IF(OR(A7="",C7="Bidding"),"",IFERROR(Settings!$B$4*12*D7/SUMIFS($D$4:$D$53,$C$4:$C$53,"&lt;&gt;Bidding"),0))</f>
        <v/>
      </c>
      <c r="S7" s="17" t="str">
        <f aca="false">IF(OR(A7="",D7=0),"",(D7-MAX(E7,K7)-N(R7))/D7)</f>
        <v/>
      </c>
      <c r="T7" s="24" t="str">
        <f aca="false">IF(A7="","",IF(K7&gt;E7,"OVER BUDGET",IF(S7&lt;Settings!$B$5,"Low margin","OK")))</f>
        <v/>
      </c>
    </row>
    <row r="8" customFormat="false" ht="15" hidden="false" customHeight="false" outlineLevel="0" collapsed="false">
      <c r="A8" s="22" t="str">
        <f aca="false">IF(Jobs!A6="","",Jobs!A6)</f>
        <v/>
      </c>
      <c r="B8" s="22" t="str">
        <f aca="false">IF(A8="","",Jobs!B6)</f>
        <v/>
      </c>
      <c r="C8" s="22" t="str">
        <f aca="false">IF(A8="","",Jobs!D6)</f>
        <v/>
      </c>
      <c r="D8" s="23" t="str">
        <f aca="false">IF(A8="","",Jobs!F6+Jobs!G6)</f>
        <v/>
      </c>
      <c r="E8" s="23" t="str">
        <f aca="false">IF(A8="","",Jobs!M6)</f>
        <v/>
      </c>
      <c r="F8" s="16" t="str">
        <f aca="false">IF($A8="","",SUMIFS('Costs Log'!$F$2:$F$1001,'Costs Log'!$B$2:$B$1001,$A8,'Costs Log'!$C$2:$C$1001,"Labor"))</f>
        <v/>
      </c>
      <c r="G8" s="16" t="str">
        <f aca="false">IF($A8="","",SUMIFS('Costs Log'!$F$2:$F$1001,'Costs Log'!$B$2:$B$1001,$A8,'Costs Log'!$C$2:$C$1001,"Materials"))</f>
        <v/>
      </c>
      <c r="H8" s="16" t="str">
        <f aca="false">IF($A8="","",SUMIFS('Costs Log'!$F$2:$F$1001,'Costs Log'!$B$2:$B$1001,$A8,'Costs Log'!$C$2:$C$1001,"Subcontractors"))</f>
        <v/>
      </c>
      <c r="I8" s="16" t="str">
        <f aca="false">IF($A8="","",SUMIFS('Costs Log'!$F$2:$F$1001,'Costs Log'!$B$2:$B$1001,$A8,'Costs Log'!$C$2:$C$1001,"Equipment"))</f>
        <v/>
      </c>
      <c r="J8" s="16" t="str">
        <f aca="false">IF($A8="","",SUMIFS('Costs Log'!$F$2:$F$1001,'Costs Log'!$B$2:$B$1001,$A8,'Costs Log'!$C$2:$C$1001,"Other"))</f>
        <v/>
      </c>
      <c r="K8" s="16" t="str">
        <f aca="false">IF(A8="","",SUM(F8:J8))</f>
        <v/>
      </c>
      <c r="L8" s="17" t="str">
        <f aca="false">IF(OR(A8="",E8=0),"",K8/E8)</f>
        <v/>
      </c>
      <c r="M8" s="16" t="str">
        <f aca="false">IF(A8="","",Jobs!H6-F8)</f>
        <v/>
      </c>
      <c r="N8" s="16" t="str">
        <f aca="false">IF(A8="","",Jobs!I6-G8)</f>
        <v/>
      </c>
      <c r="O8" s="16" t="str">
        <f aca="false">IF(A8="","",SUMIFS('Payments Log'!$E$2:$E$1001,'Payments Log'!$B$2:$B$1001,A8))</f>
        <v/>
      </c>
      <c r="P8" s="16" t="str">
        <f aca="false">IF(A8="","",D8-O8)</f>
        <v/>
      </c>
      <c r="Q8" s="16" t="str">
        <f aca="false">IF(A8="","",O8-K8)</f>
        <v/>
      </c>
      <c r="R8" s="16" t="str">
        <f aca="false">IF(OR(A8="",C8="Bidding"),"",IFERROR(Settings!$B$4*12*D8/SUMIFS($D$4:$D$53,$C$4:$C$53,"&lt;&gt;Bidding"),0))</f>
        <v/>
      </c>
      <c r="S8" s="17" t="str">
        <f aca="false">IF(OR(A8="",D8=0),"",(D8-MAX(E8,K8)-N(R8))/D8)</f>
        <v/>
      </c>
      <c r="T8" s="24" t="str">
        <f aca="false">IF(A8="","",IF(K8&gt;E8,"OVER BUDGET",IF(S8&lt;Settings!$B$5,"Low margin","OK")))</f>
        <v/>
      </c>
    </row>
    <row r="9" customFormat="false" ht="15" hidden="false" customHeight="false" outlineLevel="0" collapsed="false">
      <c r="A9" s="22" t="str">
        <f aca="false">IF(Jobs!A7="","",Jobs!A7)</f>
        <v/>
      </c>
      <c r="B9" s="22" t="str">
        <f aca="false">IF(A9="","",Jobs!B7)</f>
        <v/>
      </c>
      <c r="C9" s="22" t="str">
        <f aca="false">IF(A9="","",Jobs!D7)</f>
        <v/>
      </c>
      <c r="D9" s="23" t="str">
        <f aca="false">IF(A9="","",Jobs!F7+Jobs!G7)</f>
        <v/>
      </c>
      <c r="E9" s="23" t="str">
        <f aca="false">IF(A9="","",Jobs!M7)</f>
        <v/>
      </c>
      <c r="F9" s="16" t="str">
        <f aca="false">IF($A9="","",SUMIFS('Costs Log'!$F$2:$F$1001,'Costs Log'!$B$2:$B$1001,$A9,'Costs Log'!$C$2:$C$1001,"Labor"))</f>
        <v/>
      </c>
      <c r="G9" s="16" t="str">
        <f aca="false">IF($A9="","",SUMIFS('Costs Log'!$F$2:$F$1001,'Costs Log'!$B$2:$B$1001,$A9,'Costs Log'!$C$2:$C$1001,"Materials"))</f>
        <v/>
      </c>
      <c r="H9" s="16" t="str">
        <f aca="false">IF($A9="","",SUMIFS('Costs Log'!$F$2:$F$1001,'Costs Log'!$B$2:$B$1001,$A9,'Costs Log'!$C$2:$C$1001,"Subcontractors"))</f>
        <v/>
      </c>
      <c r="I9" s="16" t="str">
        <f aca="false">IF($A9="","",SUMIFS('Costs Log'!$F$2:$F$1001,'Costs Log'!$B$2:$B$1001,$A9,'Costs Log'!$C$2:$C$1001,"Equipment"))</f>
        <v/>
      </c>
      <c r="J9" s="16" t="str">
        <f aca="false">IF($A9="","",SUMIFS('Costs Log'!$F$2:$F$1001,'Costs Log'!$B$2:$B$1001,$A9,'Costs Log'!$C$2:$C$1001,"Other"))</f>
        <v/>
      </c>
      <c r="K9" s="16" t="str">
        <f aca="false">IF(A9="","",SUM(F9:J9))</f>
        <v/>
      </c>
      <c r="L9" s="17" t="str">
        <f aca="false">IF(OR(A9="",E9=0),"",K9/E9)</f>
        <v/>
      </c>
      <c r="M9" s="16" t="str">
        <f aca="false">IF(A9="","",Jobs!H7-F9)</f>
        <v/>
      </c>
      <c r="N9" s="16" t="str">
        <f aca="false">IF(A9="","",Jobs!I7-G9)</f>
        <v/>
      </c>
      <c r="O9" s="16" t="str">
        <f aca="false">IF(A9="","",SUMIFS('Payments Log'!$E$2:$E$1001,'Payments Log'!$B$2:$B$1001,A9))</f>
        <v/>
      </c>
      <c r="P9" s="16" t="str">
        <f aca="false">IF(A9="","",D9-O9)</f>
        <v/>
      </c>
      <c r="Q9" s="16" t="str">
        <f aca="false">IF(A9="","",O9-K9)</f>
        <v/>
      </c>
      <c r="R9" s="16" t="str">
        <f aca="false">IF(OR(A9="",C9="Bidding"),"",IFERROR(Settings!$B$4*12*D9/SUMIFS($D$4:$D$53,$C$4:$C$53,"&lt;&gt;Bidding"),0))</f>
        <v/>
      </c>
      <c r="S9" s="17" t="str">
        <f aca="false">IF(OR(A9="",D9=0),"",(D9-MAX(E9,K9)-N(R9))/D9)</f>
        <v/>
      </c>
      <c r="T9" s="24" t="str">
        <f aca="false">IF(A9="","",IF(K9&gt;E9,"OVER BUDGET",IF(S9&lt;Settings!$B$5,"Low margin","OK")))</f>
        <v/>
      </c>
    </row>
    <row r="10" customFormat="false" ht="15" hidden="false" customHeight="false" outlineLevel="0" collapsed="false">
      <c r="A10" s="22" t="str">
        <f aca="false">IF(Jobs!A8="","",Jobs!A8)</f>
        <v/>
      </c>
      <c r="B10" s="22" t="str">
        <f aca="false">IF(A10="","",Jobs!B8)</f>
        <v/>
      </c>
      <c r="C10" s="22" t="str">
        <f aca="false">IF(A10="","",Jobs!D8)</f>
        <v/>
      </c>
      <c r="D10" s="23" t="str">
        <f aca="false">IF(A10="","",Jobs!F8+Jobs!G8)</f>
        <v/>
      </c>
      <c r="E10" s="23" t="str">
        <f aca="false">IF(A10="","",Jobs!M8)</f>
        <v/>
      </c>
      <c r="F10" s="16" t="str">
        <f aca="false">IF($A10="","",SUMIFS('Costs Log'!$F$2:$F$1001,'Costs Log'!$B$2:$B$1001,$A10,'Costs Log'!$C$2:$C$1001,"Labor"))</f>
        <v/>
      </c>
      <c r="G10" s="16" t="str">
        <f aca="false">IF($A10="","",SUMIFS('Costs Log'!$F$2:$F$1001,'Costs Log'!$B$2:$B$1001,$A10,'Costs Log'!$C$2:$C$1001,"Materials"))</f>
        <v/>
      </c>
      <c r="H10" s="16" t="str">
        <f aca="false">IF($A10="","",SUMIFS('Costs Log'!$F$2:$F$1001,'Costs Log'!$B$2:$B$1001,$A10,'Costs Log'!$C$2:$C$1001,"Subcontractors"))</f>
        <v/>
      </c>
      <c r="I10" s="16" t="str">
        <f aca="false">IF($A10="","",SUMIFS('Costs Log'!$F$2:$F$1001,'Costs Log'!$B$2:$B$1001,$A10,'Costs Log'!$C$2:$C$1001,"Equipment"))</f>
        <v/>
      </c>
      <c r="J10" s="16" t="str">
        <f aca="false">IF($A10="","",SUMIFS('Costs Log'!$F$2:$F$1001,'Costs Log'!$B$2:$B$1001,$A10,'Costs Log'!$C$2:$C$1001,"Other"))</f>
        <v/>
      </c>
      <c r="K10" s="16" t="str">
        <f aca="false">IF(A10="","",SUM(F10:J10))</f>
        <v/>
      </c>
      <c r="L10" s="17" t="str">
        <f aca="false">IF(OR(A10="",E10=0),"",K10/E10)</f>
        <v/>
      </c>
      <c r="M10" s="16" t="str">
        <f aca="false">IF(A10="","",Jobs!H8-F10)</f>
        <v/>
      </c>
      <c r="N10" s="16" t="str">
        <f aca="false">IF(A10="","",Jobs!I8-G10)</f>
        <v/>
      </c>
      <c r="O10" s="16" t="str">
        <f aca="false">IF(A10="","",SUMIFS('Payments Log'!$E$2:$E$1001,'Payments Log'!$B$2:$B$1001,A10))</f>
        <v/>
      </c>
      <c r="P10" s="16" t="str">
        <f aca="false">IF(A10="","",D10-O10)</f>
        <v/>
      </c>
      <c r="Q10" s="16" t="str">
        <f aca="false">IF(A10="","",O10-K10)</f>
        <v/>
      </c>
      <c r="R10" s="16" t="str">
        <f aca="false">IF(OR(A10="",C10="Bidding"),"",IFERROR(Settings!$B$4*12*D10/SUMIFS($D$4:$D$53,$C$4:$C$53,"&lt;&gt;Bidding"),0))</f>
        <v/>
      </c>
      <c r="S10" s="17" t="str">
        <f aca="false">IF(OR(A10="",D10=0),"",(D10-MAX(E10,K10)-N(R10))/D10)</f>
        <v/>
      </c>
      <c r="T10" s="24" t="str">
        <f aca="false">IF(A10="","",IF(K10&gt;E10,"OVER BUDGET",IF(S10&lt;Settings!$B$5,"Low margin","OK")))</f>
        <v/>
      </c>
    </row>
    <row r="11" customFormat="false" ht="15" hidden="false" customHeight="false" outlineLevel="0" collapsed="false">
      <c r="A11" s="22" t="str">
        <f aca="false">IF(Jobs!A9="","",Jobs!A9)</f>
        <v/>
      </c>
      <c r="B11" s="22" t="str">
        <f aca="false">IF(A11="","",Jobs!B9)</f>
        <v/>
      </c>
      <c r="C11" s="22" t="str">
        <f aca="false">IF(A11="","",Jobs!D9)</f>
        <v/>
      </c>
      <c r="D11" s="23" t="str">
        <f aca="false">IF(A11="","",Jobs!F9+Jobs!G9)</f>
        <v/>
      </c>
      <c r="E11" s="23" t="str">
        <f aca="false">IF(A11="","",Jobs!M9)</f>
        <v/>
      </c>
      <c r="F11" s="16" t="str">
        <f aca="false">IF($A11="","",SUMIFS('Costs Log'!$F$2:$F$1001,'Costs Log'!$B$2:$B$1001,$A11,'Costs Log'!$C$2:$C$1001,"Labor"))</f>
        <v/>
      </c>
      <c r="G11" s="16" t="str">
        <f aca="false">IF($A11="","",SUMIFS('Costs Log'!$F$2:$F$1001,'Costs Log'!$B$2:$B$1001,$A11,'Costs Log'!$C$2:$C$1001,"Materials"))</f>
        <v/>
      </c>
      <c r="H11" s="16" t="str">
        <f aca="false">IF($A11="","",SUMIFS('Costs Log'!$F$2:$F$1001,'Costs Log'!$B$2:$B$1001,$A11,'Costs Log'!$C$2:$C$1001,"Subcontractors"))</f>
        <v/>
      </c>
      <c r="I11" s="16" t="str">
        <f aca="false">IF($A11="","",SUMIFS('Costs Log'!$F$2:$F$1001,'Costs Log'!$B$2:$B$1001,$A11,'Costs Log'!$C$2:$C$1001,"Equipment"))</f>
        <v/>
      </c>
      <c r="J11" s="16" t="str">
        <f aca="false">IF($A11="","",SUMIFS('Costs Log'!$F$2:$F$1001,'Costs Log'!$B$2:$B$1001,$A11,'Costs Log'!$C$2:$C$1001,"Other"))</f>
        <v/>
      </c>
      <c r="K11" s="16" t="str">
        <f aca="false">IF(A11="","",SUM(F11:J11))</f>
        <v/>
      </c>
      <c r="L11" s="17" t="str">
        <f aca="false">IF(OR(A11="",E11=0),"",K11/E11)</f>
        <v/>
      </c>
      <c r="M11" s="16" t="str">
        <f aca="false">IF(A11="","",Jobs!H9-F11)</f>
        <v/>
      </c>
      <c r="N11" s="16" t="str">
        <f aca="false">IF(A11="","",Jobs!I9-G11)</f>
        <v/>
      </c>
      <c r="O11" s="16" t="str">
        <f aca="false">IF(A11="","",SUMIFS('Payments Log'!$E$2:$E$1001,'Payments Log'!$B$2:$B$1001,A11))</f>
        <v/>
      </c>
      <c r="P11" s="16" t="str">
        <f aca="false">IF(A11="","",D11-O11)</f>
        <v/>
      </c>
      <c r="Q11" s="16" t="str">
        <f aca="false">IF(A11="","",O11-K11)</f>
        <v/>
      </c>
      <c r="R11" s="16" t="str">
        <f aca="false">IF(OR(A11="",C11="Bidding"),"",IFERROR(Settings!$B$4*12*D11/SUMIFS($D$4:$D$53,$C$4:$C$53,"&lt;&gt;Bidding"),0))</f>
        <v/>
      </c>
      <c r="S11" s="17" t="str">
        <f aca="false">IF(OR(A11="",D11=0),"",(D11-MAX(E11,K11)-N(R11))/D11)</f>
        <v/>
      </c>
      <c r="T11" s="24" t="str">
        <f aca="false">IF(A11="","",IF(K11&gt;E11,"OVER BUDGET",IF(S11&lt;Settings!$B$5,"Low margin","OK")))</f>
        <v/>
      </c>
    </row>
    <row r="12" customFormat="false" ht="15" hidden="false" customHeight="false" outlineLevel="0" collapsed="false">
      <c r="A12" s="22" t="str">
        <f aca="false">IF(Jobs!A10="","",Jobs!A10)</f>
        <v/>
      </c>
      <c r="B12" s="22" t="str">
        <f aca="false">IF(A12="","",Jobs!B10)</f>
        <v/>
      </c>
      <c r="C12" s="22" t="str">
        <f aca="false">IF(A12="","",Jobs!D10)</f>
        <v/>
      </c>
      <c r="D12" s="23" t="str">
        <f aca="false">IF(A12="","",Jobs!F10+Jobs!G10)</f>
        <v/>
      </c>
      <c r="E12" s="23" t="str">
        <f aca="false">IF(A12="","",Jobs!M10)</f>
        <v/>
      </c>
      <c r="F12" s="16" t="str">
        <f aca="false">IF($A12="","",SUMIFS('Costs Log'!$F$2:$F$1001,'Costs Log'!$B$2:$B$1001,$A12,'Costs Log'!$C$2:$C$1001,"Labor"))</f>
        <v/>
      </c>
      <c r="G12" s="16" t="str">
        <f aca="false">IF($A12="","",SUMIFS('Costs Log'!$F$2:$F$1001,'Costs Log'!$B$2:$B$1001,$A12,'Costs Log'!$C$2:$C$1001,"Materials"))</f>
        <v/>
      </c>
      <c r="H12" s="16" t="str">
        <f aca="false">IF($A12="","",SUMIFS('Costs Log'!$F$2:$F$1001,'Costs Log'!$B$2:$B$1001,$A12,'Costs Log'!$C$2:$C$1001,"Subcontractors"))</f>
        <v/>
      </c>
      <c r="I12" s="16" t="str">
        <f aca="false">IF($A12="","",SUMIFS('Costs Log'!$F$2:$F$1001,'Costs Log'!$B$2:$B$1001,$A12,'Costs Log'!$C$2:$C$1001,"Equipment"))</f>
        <v/>
      </c>
      <c r="J12" s="16" t="str">
        <f aca="false">IF($A12="","",SUMIFS('Costs Log'!$F$2:$F$1001,'Costs Log'!$B$2:$B$1001,$A12,'Costs Log'!$C$2:$C$1001,"Other"))</f>
        <v/>
      </c>
      <c r="K12" s="16" t="str">
        <f aca="false">IF(A12="","",SUM(F12:J12))</f>
        <v/>
      </c>
      <c r="L12" s="17" t="str">
        <f aca="false">IF(OR(A12="",E12=0),"",K12/E12)</f>
        <v/>
      </c>
      <c r="M12" s="16" t="str">
        <f aca="false">IF(A12="","",Jobs!H10-F12)</f>
        <v/>
      </c>
      <c r="N12" s="16" t="str">
        <f aca="false">IF(A12="","",Jobs!I10-G12)</f>
        <v/>
      </c>
      <c r="O12" s="16" t="str">
        <f aca="false">IF(A12="","",SUMIFS('Payments Log'!$E$2:$E$1001,'Payments Log'!$B$2:$B$1001,A12))</f>
        <v/>
      </c>
      <c r="P12" s="16" t="str">
        <f aca="false">IF(A12="","",D12-O12)</f>
        <v/>
      </c>
      <c r="Q12" s="16" t="str">
        <f aca="false">IF(A12="","",O12-K12)</f>
        <v/>
      </c>
      <c r="R12" s="16" t="str">
        <f aca="false">IF(OR(A12="",C12="Bidding"),"",IFERROR(Settings!$B$4*12*D12/SUMIFS($D$4:$D$53,$C$4:$C$53,"&lt;&gt;Bidding"),0))</f>
        <v/>
      </c>
      <c r="S12" s="17" t="str">
        <f aca="false">IF(OR(A12="",D12=0),"",(D12-MAX(E12,K12)-N(R12))/D12)</f>
        <v/>
      </c>
      <c r="T12" s="24" t="str">
        <f aca="false">IF(A12="","",IF(K12&gt;E12,"OVER BUDGET",IF(S12&lt;Settings!$B$5,"Low margin","OK")))</f>
        <v/>
      </c>
    </row>
    <row r="13" customFormat="false" ht="15" hidden="false" customHeight="false" outlineLevel="0" collapsed="false">
      <c r="A13" s="22" t="str">
        <f aca="false">IF(Jobs!A11="","",Jobs!A11)</f>
        <v/>
      </c>
      <c r="B13" s="22" t="str">
        <f aca="false">IF(A13="","",Jobs!B11)</f>
        <v/>
      </c>
      <c r="C13" s="22" t="str">
        <f aca="false">IF(A13="","",Jobs!D11)</f>
        <v/>
      </c>
      <c r="D13" s="23" t="str">
        <f aca="false">IF(A13="","",Jobs!F11+Jobs!G11)</f>
        <v/>
      </c>
      <c r="E13" s="23" t="str">
        <f aca="false">IF(A13="","",Jobs!M11)</f>
        <v/>
      </c>
      <c r="F13" s="16" t="str">
        <f aca="false">IF($A13="","",SUMIFS('Costs Log'!$F$2:$F$1001,'Costs Log'!$B$2:$B$1001,$A13,'Costs Log'!$C$2:$C$1001,"Labor"))</f>
        <v/>
      </c>
      <c r="G13" s="16" t="str">
        <f aca="false">IF($A13="","",SUMIFS('Costs Log'!$F$2:$F$1001,'Costs Log'!$B$2:$B$1001,$A13,'Costs Log'!$C$2:$C$1001,"Materials"))</f>
        <v/>
      </c>
      <c r="H13" s="16" t="str">
        <f aca="false">IF($A13="","",SUMIFS('Costs Log'!$F$2:$F$1001,'Costs Log'!$B$2:$B$1001,$A13,'Costs Log'!$C$2:$C$1001,"Subcontractors"))</f>
        <v/>
      </c>
      <c r="I13" s="16" t="str">
        <f aca="false">IF($A13="","",SUMIFS('Costs Log'!$F$2:$F$1001,'Costs Log'!$B$2:$B$1001,$A13,'Costs Log'!$C$2:$C$1001,"Equipment"))</f>
        <v/>
      </c>
      <c r="J13" s="16" t="str">
        <f aca="false">IF($A13="","",SUMIFS('Costs Log'!$F$2:$F$1001,'Costs Log'!$B$2:$B$1001,$A13,'Costs Log'!$C$2:$C$1001,"Other"))</f>
        <v/>
      </c>
      <c r="K13" s="16" t="str">
        <f aca="false">IF(A13="","",SUM(F13:J13))</f>
        <v/>
      </c>
      <c r="L13" s="17" t="str">
        <f aca="false">IF(OR(A13="",E13=0),"",K13/E13)</f>
        <v/>
      </c>
      <c r="M13" s="16" t="str">
        <f aca="false">IF(A13="","",Jobs!H11-F13)</f>
        <v/>
      </c>
      <c r="N13" s="16" t="str">
        <f aca="false">IF(A13="","",Jobs!I11-G13)</f>
        <v/>
      </c>
      <c r="O13" s="16" t="str">
        <f aca="false">IF(A13="","",SUMIFS('Payments Log'!$E$2:$E$1001,'Payments Log'!$B$2:$B$1001,A13))</f>
        <v/>
      </c>
      <c r="P13" s="16" t="str">
        <f aca="false">IF(A13="","",D13-O13)</f>
        <v/>
      </c>
      <c r="Q13" s="16" t="str">
        <f aca="false">IF(A13="","",O13-K13)</f>
        <v/>
      </c>
      <c r="R13" s="16" t="str">
        <f aca="false">IF(OR(A13="",C13="Bidding"),"",IFERROR(Settings!$B$4*12*D13/SUMIFS($D$4:$D$53,$C$4:$C$53,"&lt;&gt;Bidding"),0))</f>
        <v/>
      </c>
      <c r="S13" s="17" t="str">
        <f aca="false">IF(OR(A13="",D13=0),"",(D13-MAX(E13,K13)-N(R13))/D13)</f>
        <v/>
      </c>
      <c r="T13" s="24" t="str">
        <f aca="false">IF(A13="","",IF(K13&gt;E13,"OVER BUDGET",IF(S13&lt;Settings!$B$5,"Low margin","OK")))</f>
        <v/>
      </c>
    </row>
    <row r="14" customFormat="false" ht="15" hidden="false" customHeight="false" outlineLevel="0" collapsed="false">
      <c r="A14" s="22" t="str">
        <f aca="false">IF(Jobs!A12="","",Jobs!A12)</f>
        <v/>
      </c>
      <c r="B14" s="22" t="str">
        <f aca="false">IF(A14="","",Jobs!B12)</f>
        <v/>
      </c>
      <c r="C14" s="22" t="str">
        <f aca="false">IF(A14="","",Jobs!D12)</f>
        <v/>
      </c>
      <c r="D14" s="23" t="str">
        <f aca="false">IF(A14="","",Jobs!F12+Jobs!G12)</f>
        <v/>
      </c>
      <c r="E14" s="23" t="str">
        <f aca="false">IF(A14="","",Jobs!M12)</f>
        <v/>
      </c>
      <c r="F14" s="16" t="str">
        <f aca="false">IF($A14="","",SUMIFS('Costs Log'!$F$2:$F$1001,'Costs Log'!$B$2:$B$1001,$A14,'Costs Log'!$C$2:$C$1001,"Labor"))</f>
        <v/>
      </c>
      <c r="G14" s="16" t="str">
        <f aca="false">IF($A14="","",SUMIFS('Costs Log'!$F$2:$F$1001,'Costs Log'!$B$2:$B$1001,$A14,'Costs Log'!$C$2:$C$1001,"Materials"))</f>
        <v/>
      </c>
      <c r="H14" s="16" t="str">
        <f aca="false">IF($A14="","",SUMIFS('Costs Log'!$F$2:$F$1001,'Costs Log'!$B$2:$B$1001,$A14,'Costs Log'!$C$2:$C$1001,"Subcontractors"))</f>
        <v/>
      </c>
      <c r="I14" s="16" t="str">
        <f aca="false">IF($A14="","",SUMIFS('Costs Log'!$F$2:$F$1001,'Costs Log'!$B$2:$B$1001,$A14,'Costs Log'!$C$2:$C$1001,"Equipment"))</f>
        <v/>
      </c>
      <c r="J14" s="16" t="str">
        <f aca="false">IF($A14="","",SUMIFS('Costs Log'!$F$2:$F$1001,'Costs Log'!$B$2:$B$1001,$A14,'Costs Log'!$C$2:$C$1001,"Other"))</f>
        <v/>
      </c>
      <c r="K14" s="16" t="str">
        <f aca="false">IF(A14="","",SUM(F14:J14))</f>
        <v/>
      </c>
      <c r="L14" s="17" t="str">
        <f aca="false">IF(OR(A14="",E14=0),"",K14/E14)</f>
        <v/>
      </c>
      <c r="M14" s="16" t="str">
        <f aca="false">IF(A14="","",Jobs!H12-F14)</f>
        <v/>
      </c>
      <c r="N14" s="16" t="str">
        <f aca="false">IF(A14="","",Jobs!I12-G14)</f>
        <v/>
      </c>
      <c r="O14" s="16" t="str">
        <f aca="false">IF(A14="","",SUMIFS('Payments Log'!$E$2:$E$1001,'Payments Log'!$B$2:$B$1001,A14))</f>
        <v/>
      </c>
      <c r="P14" s="16" t="str">
        <f aca="false">IF(A14="","",D14-O14)</f>
        <v/>
      </c>
      <c r="Q14" s="16" t="str">
        <f aca="false">IF(A14="","",O14-K14)</f>
        <v/>
      </c>
      <c r="R14" s="16" t="str">
        <f aca="false">IF(OR(A14="",C14="Bidding"),"",IFERROR(Settings!$B$4*12*D14/SUMIFS($D$4:$D$53,$C$4:$C$53,"&lt;&gt;Bidding"),0))</f>
        <v/>
      </c>
      <c r="S14" s="17" t="str">
        <f aca="false">IF(OR(A14="",D14=0),"",(D14-MAX(E14,K14)-N(R14))/D14)</f>
        <v/>
      </c>
      <c r="T14" s="24" t="str">
        <f aca="false">IF(A14="","",IF(K14&gt;E14,"OVER BUDGET",IF(S14&lt;Settings!$B$5,"Low margin","OK")))</f>
        <v/>
      </c>
    </row>
    <row r="15" customFormat="false" ht="15" hidden="false" customHeight="false" outlineLevel="0" collapsed="false">
      <c r="A15" s="22" t="str">
        <f aca="false">IF(Jobs!A13="","",Jobs!A13)</f>
        <v/>
      </c>
      <c r="B15" s="22" t="str">
        <f aca="false">IF(A15="","",Jobs!B13)</f>
        <v/>
      </c>
      <c r="C15" s="22" t="str">
        <f aca="false">IF(A15="","",Jobs!D13)</f>
        <v/>
      </c>
      <c r="D15" s="23" t="str">
        <f aca="false">IF(A15="","",Jobs!F13+Jobs!G13)</f>
        <v/>
      </c>
      <c r="E15" s="23" t="str">
        <f aca="false">IF(A15="","",Jobs!M13)</f>
        <v/>
      </c>
      <c r="F15" s="16" t="str">
        <f aca="false">IF($A15="","",SUMIFS('Costs Log'!$F$2:$F$1001,'Costs Log'!$B$2:$B$1001,$A15,'Costs Log'!$C$2:$C$1001,"Labor"))</f>
        <v/>
      </c>
      <c r="G15" s="16" t="str">
        <f aca="false">IF($A15="","",SUMIFS('Costs Log'!$F$2:$F$1001,'Costs Log'!$B$2:$B$1001,$A15,'Costs Log'!$C$2:$C$1001,"Materials"))</f>
        <v/>
      </c>
      <c r="H15" s="16" t="str">
        <f aca="false">IF($A15="","",SUMIFS('Costs Log'!$F$2:$F$1001,'Costs Log'!$B$2:$B$1001,$A15,'Costs Log'!$C$2:$C$1001,"Subcontractors"))</f>
        <v/>
      </c>
      <c r="I15" s="16" t="str">
        <f aca="false">IF($A15="","",SUMIFS('Costs Log'!$F$2:$F$1001,'Costs Log'!$B$2:$B$1001,$A15,'Costs Log'!$C$2:$C$1001,"Equipment"))</f>
        <v/>
      </c>
      <c r="J15" s="16" t="str">
        <f aca="false">IF($A15="","",SUMIFS('Costs Log'!$F$2:$F$1001,'Costs Log'!$B$2:$B$1001,$A15,'Costs Log'!$C$2:$C$1001,"Other"))</f>
        <v/>
      </c>
      <c r="K15" s="16" t="str">
        <f aca="false">IF(A15="","",SUM(F15:J15))</f>
        <v/>
      </c>
      <c r="L15" s="17" t="str">
        <f aca="false">IF(OR(A15="",E15=0),"",K15/E15)</f>
        <v/>
      </c>
      <c r="M15" s="16" t="str">
        <f aca="false">IF(A15="","",Jobs!H13-F15)</f>
        <v/>
      </c>
      <c r="N15" s="16" t="str">
        <f aca="false">IF(A15="","",Jobs!I13-G15)</f>
        <v/>
      </c>
      <c r="O15" s="16" t="str">
        <f aca="false">IF(A15="","",SUMIFS('Payments Log'!$E$2:$E$1001,'Payments Log'!$B$2:$B$1001,A15))</f>
        <v/>
      </c>
      <c r="P15" s="16" t="str">
        <f aca="false">IF(A15="","",D15-O15)</f>
        <v/>
      </c>
      <c r="Q15" s="16" t="str">
        <f aca="false">IF(A15="","",O15-K15)</f>
        <v/>
      </c>
      <c r="R15" s="16" t="str">
        <f aca="false">IF(OR(A15="",C15="Bidding"),"",IFERROR(Settings!$B$4*12*D15/SUMIFS($D$4:$D$53,$C$4:$C$53,"&lt;&gt;Bidding"),0))</f>
        <v/>
      </c>
      <c r="S15" s="17" t="str">
        <f aca="false">IF(OR(A15="",D15=0),"",(D15-MAX(E15,K15)-N(R15))/D15)</f>
        <v/>
      </c>
      <c r="T15" s="24" t="str">
        <f aca="false">IF(A15="","",IF(K15&gt;E15,"OVER BUDGET",IF(S15&lt;Settings!$B$5,"Low margin","OK")))</f>
        <v/>
      </c>
    </row>
    <row r="16" customFormat="false" ht="15" hidden="false" customHeight="false" outlineLevel="0" collapsed="false">
      <c r="A16" s="22" t="str">
        <f aca="false">IF(Jobs!A14="","",Jobs!A14)</f>
        <v/>
      </c>
      <c r="B16" s="22" t="str">
        <f aca="false">IF(A16="","",Jobs!B14)</f>
        <v/>
      </c>
      <c r="C16" s="22" t="str">
        <f aca="false">IF(A16="","",Jobs!D14)</f>
        <v/>
      </c>
      <c r="D16" s="23" t="str">
        <f aca="false">IF(A16="","",Jobs!F14+Jobs!G14)</f>
        <v/>
      </c>
      <c r="E16" s="23" t="str">
        <f aca="false">IF(A16="","",Jobs!M14)</f>
        <v/>
      </c>
      <c r="F16" s="16" t="str">
        <f aca="false">IF($A16="","",SUMIFS('Costs Log'!$F$2:$F$1001,'Costs Log'!$B$2:$B$1001,$A16,'Costs Log'!$C$2:$C$1001,"Labor"))</f>
        <v/>
      </c>
      <c r="G16" s="16" t="str">
        <f aca="false">IF($A16="","",SUMIFS('Costs Log'!$F$2:$F$1001,'Costs Log'!$B$2:$B$1001,$A16,'Costs Log'!$C$2:$C$1001,"Materials"))</f>
        <v/>
      </c>
      <c r="H16" s="16" t="str">
        <f aca="false">IF($A16="","",SUMIFS('Costs Log'!$F$2:$F$1001,'Costs Log'!$B$2:$B$1001,$A16,'Costs Log'!$C$2:$C$1001,"Subcontractors"))</f>
        <v/>
      </c>
      <c r="I16" s="16" t="str">
        <f aca="false">IF($A16="","",SUMIFS('Costs Log'!$F$2:$F$1001,'Costs Log'!$B$2:$B$1001,$A16,'Costs Log'!$C$2:$C$1001,"Equipment"))</f>
        <v/>
      </c>
      <c r="J16" s="16" t="str">
        <f aca="false">IF($A16="","",SUMIFS('Costs Log'!$F$2:$F$1001,'Costs Log'!$B$2:$B$1001,$A16,'Costs Log'!$C$2:$C$1001,"Other"))</f>
        <v/>
      </c>
      <c r="K16" s="16" t="str">
        <f aca="false">IF(A16="","",SUM(F16:J16))</f>
        <v/>
      </c>
      <c r="L16" s="17" t="str">
        <f aca="false">IF(OR(A16="",E16=0),"",K16/E16)</f>
        <v/>
      </c>
      <c r="M16" s="16" t="str">
        <f aca="false">IF(A16="","",Jobs!H14-F16)</f>
        <v/>
      </c>
      <c r="N16" s="16" t="str">
        <f aca="false">IF(A16="","",Jobs!I14-G16)</f>
        <v/>
      </c>
      <c r="O16" s="16" t="str">
        <f aca="false">IF(A16="","",SUMIFS('Payments Log'!$E$2:$E$1001,'Payments Log'!$B$2:$B$1001,A16))</f>
        <v/>
      </c>
      <c r="P16" s="16" t="str">
        <f aca="false">IF(A16="","",D16-O16)</f>
        <v/>
      </c>
      <c r="Q16" s="16" t="str">
        <f aca="false">IF(A16="","",O16-K16)</f>
        <v/>
      </c>
      <c r="R16" s="16" t="str">
        <f aca="false">IF(OR(A16="",C16="Bidding"),"",IFERROR(Settings!$B$4*12*D16/SUMIFS($D$4:$D$53,$C$4:$C$53,"&lt;&gt;Bidding"),0))</f>
        <v/>
      </c>
      <c r="S16" s="17" t="str">
        <f aca="false">IF(OR(A16="",D16=0),"",(D16-MAX(E16,K16)-N(R16))/D16)</f>
        <v/>
      </c>
      <c r="T16" s="24" t="str">
        <f aca="false">IF(A16="","",IF(K16&gt;E16,"OVER BUDGET",IF(S16&lt;Settings!$B$5,"Low margin","OK")))</f>
        <v/>
      </c>
    </row>
    <row r="17" customFormat="false" ht="15" hidden="false" customHeight="false" outlineLevel="0" collapsed="false">
      <c r="A17" s="22" t="str">
        <f aca="false">IF(Jobs!A15="","",Jobs!A15)</f>
        <v/>
      </c>
      <c r="B17" s="22" t="str">
        <f aca="false">IF(A17="","",Jobs!B15)</f>
        <v/>
      </c>
      <c r="C17" s="22" t="str">
        <f aca="false">IF(A17="","",Jobs!D15)</f>
        <v/>
      </c>
      <c r="D17" s="23" t="str">
        <f aca="false">IF(A17="","",Jobs!F15+Jobs!G15)</f>
        <v/>
      </c>
      <c r="E17" s="23" t="str">
        <f aca="false">IF(A17="","",Jobs!M15)</f>
        <v/>
      </c>
      <c r="F17" s="16" t="str">
        <f aca="false">IF($A17="","",SUMIFS('Costs Log'!$F$2:$F$1001,'Costs Log'!$B$2:$B$1001,$A17,'Costs Log'!$C$2:$C$1001,"Labor"))</f>
        <v/>
      </c>
      <c r="G17" s="16" t="str">
        <f aca="false">IF($A17="","",SUMIFS('Costs Log'!$F$2:$F$1001,'Costs Log'!$B$2:$B$1001,$A17,'Costs Log'!$C$2:$C$1001,"Materials"))</f>
        <v/>
      </c>
      <c r="H17" s="16" t="str">
        <f aca="false">IF($A17="","",SUMIFS('Costs Log'!$F$2:$F$1001,'Costs Log'!$B$2:$B$1001,$A17,'Costs Log'!$C$2:$C$1001,"Subcontractors"))</f>
        <v/>
      </c>
      <c r="I17" s="16" t="str">
        <f aca="false">IF($A17="","",SUMIFS('Costs Log'!$F$2:$F$1001,'Costs Log'!$B$2:$B$1001,$A17,'Costs Log'!$C$2:$C$1001,"Equipment"))</f>
        <v/>
      </c>
      <c r="J17" s="16" t="str">
        <f aca="false">IF($A17="","",SUMIFS('Costs Log'!$F$2:$F$1001,'Costs Log'!$B$2:$B$1001,$A17,'Costs Log'!$C$2:$C$1001,"Other"))</f>
        <v/>
      </c>
      <c r="K17" s="16" t="str">
        <f aca="false">IF(A17="","",SUM(F17:J17))</f>
        <v/>
      </c>
      <c r="L17" s="17" t="str">
        <f aca="false">IF(OR(A17="",E17=0),"",K17/E17)</f>
        <v/>
      </c>
      <c r="M17" s="16" t="str">
        <f aca="false">IF(A17="","",Jobs!H15-F17)</f>
        <v/>
      </c>
      <c r="N17" s="16" t="str">
        <f aca="false">IF(A17="","",Jobs!I15-G17)</f>
        <v/>
      </c>
      <c r="O17" s="16" t="str">
        <f aca="false">IF(A17="","",SUMIFS('Payments Log'!$E$2:$E$1001,'Payments Log'!$B$2:$B$1001,A17))</f>
        <v/>
      </c>
      <c r="P17" s="16" t="str">
        <f aca="false">IF(A17="","",D17-O17)</f>
        <v/>
      </c>
      <c r="Q17" s="16" t="str">
        <f aca="false">IF(A17="","",O17-K17)</f>
        <v/>
      </c>
      <c r="R17" s="16" t="str">
        <f aca="false">IF(OR(A17="",C17="Bidding"),"",IFERROR(Settings!$B$4*12*D17/SUMIFS($D$4:$D$53,$C$4:$C$53,"&lt;&gt;Bidding"),0))</f>
        <v/>
      </c>
      <c r="S17" s="17" t="str">
        <f aca="false">IF(OR(A17="",D17=0),"",(D17-MAX(E17,K17)-N(R17))/D17)</f>
        <v/>
      </c>
      <c r="T17" s="24" t="str">
        <f aca="false">IF(A17="","",IF(K17&gt;E17,"OVER BUDGET",IF(S17&lt;Settings!$B$5,"Low margin","OK")))</f>
        <v/>
      </c>
    </row>
    <row r="18" customFormat="false" ht="15" hidden="false" customHeight="false" outlineLevel="0" collapsed="false">
      <c r="A18" s="22" t="str">
        <f aca="false">IF(Jobs!A16="","",Jobs!A16)</f>
        <v/>
      </c>
      <c r="B18" s="22" t="str">
        <f aca="false">IF(A18="","",Jobs!B16)</f>
        <v/>
      </c>
      <c r="C18" s="22" t="str">
        <f aca="false">IF(A18="","",Jobs!D16)</f>
        <v/>
      </c>
      <c r="D18" s="23" t="str">
        <f aca="false">IF(A18="","",Jobs!F16+Jobs!G16)</f>
        <v/>
      </c>
      <c r="E18" s="23" t="str">
        <f aca="false">IF(A18="","",Jobs!M16)</f>
        <v/>
      </c>
      <c r="F18" s="16" t="str">
        <f aca="false">IF($A18="","",SUMIFS('Costs Log'!$F$2:$F$1001,'Costs Log'!$B$2:$B$1001,$A18,'Costs Log'!$C$2:$C$1001,"Labor"))</f>
        <v/>
      </c>
      <c r="G18" s="16" t="str">
        <f aca="false">IF($A18="","",SUMIFS('Costs Log'!$F$2:$F$1001,'Costs Log'!$B$2:$B$1001,$A18,'Costs Log'!$C$2:$C$1001,"Materials"))</f>
        <v/>
      </c>
      <c r="H18" s="16" t="str">
        <f aca="false">IF($A18="","",SUMIFS('Costs Log'!$F$2:$F$1001,'Costs Log'!$B$2:$B$1001,$A18,'Costs Log'!$C$2:$C$1001,"Subcontractors"))</f>
        <v/>
      </c>
      <c r="I18" s="16" t="str">
        <f aca="false">IF($A18="","",SUMIFS('Costs Log'!$F$2:$F$1001,'Costs Log'!$B$2:$B$1001,$A18,'Costs Log'!$C$2:$C$1001,"Equipment"))</f>
        <v/>
      </c>
      <c r="J18" s="16" t="str">
        <f aca="false">IF($A18="","",SUMIFS('Costs Log'!$F$2:$F$1001,'Costs Log'!$B$2:$B$1001,$A18,'Costs Log'!$C$2:$C$1001,"Other"))</f>
        <v/>
      </c>
      <c r="K18" s="16" t="str">
        <f aca="false">IF(A18="","",SUM(F18:J18))</f>
        <v/>
      </c>
      <c r="L18" s="17" t="str">
        <f aca="false">IF(OR(A18="",E18=0),"",K18/E18)</f>
        <v/>
      </c>
      <c r="M18" s="16" t="str">
        <f aca="false">IF(A18="","",Jobs!H16-F18)</f>
        <v/>
      </c>
      <c r="N18" s="16" t="str">
        <f aca="false">IF(A18="","",Jobs!I16-G18)</f>
        <v/>
      </c>
      <c r="O18" s="16" t="str">
        <f aca="false">IF(A18="","",SUMIFS('Payments Log'!$E$2:$E$1001,'Payments Log'!$B$2:$B$1001,A18))</f>
        <v/>
      </c>
      <c r="P18" s="16" t="str">
        <f aca="false">IF(A18="","",D18-O18)</f>
        <v/>
      </c>
      <c r="Q18" s="16" t="str">
        <f aca="false">IF(A18="","",O18-K18)</f>
        <v/>
      </c>
      <c r="R18" s="16" t="str">
        <f aca="false">IF(OR(A18="",C18="Bidding"),"",IFERROR(Settings!$B$4*12*D18/SUMIFS($D$4:$D$53,$C$4:$C$53,"&lt;&gt;Bidding"),0))</f>
        <v/>
      </c>
      <c r="S18" s="17" t="str">
        <f aca="false">IF(OR(A18="",D18=0),"",(D18-MAX(E18,K18)-N(R18))/D18)</f>
        <v/>
      </c>
      <c r="T18" s="24" t="str">
        <f aca="false">IF(A18="","",IF(K18&gt;E18,"OVER BUDGET",IF(S18&lt;Settings!$B$5,"Low margin","OK")))</f>
        <v/>
      </c>
    </row>
    <row r="19" customFormat="false" ht="15" hidden="false" customHeight="false" outlineLevel="0" collapsed="false">
      <c r="A19" s="22" t="str">
        <f aca="false">IF(Jobs!A17="","",Jobs!A17)</f>
        <v/>
      </c>
      <c r="B19" s="22" t="str">
        <f aca="false">IF(A19="","",Jobs!B17)</f>
        <v/>
      </c>
      <c r="C19" s="22" t="str">
        <f aca="false">IF(A19="","",Jobs!D17)</f>
        <v/>
      </c>
      <c r="D19" s="23" t="str">
        <f aca="false">IF(A19="","",Jobs!F17+Jobs!G17)</f>
        <v/>
      </c>
      <c r="E19" s="23" t="str">
        <f aca="false">IF(A19="","",Jobs!M17)</f>
        <v/>
      </c>
      <c r="F19" s="16" t="str">
        <f aca="false">IF($A19="","",SUMIFS('Costs Log'!$F$2:$F$1001,'Costs Log'!$B$2:$B$1001,$A19,'Costs Log'!$C$2:$C$1001,"Labor"))</f>
        <v/>
      </c>
      <c r="G19" s="16" t="str">
        <f aca="false">IF($A19="","",SUMIFS('Costs Log'!$F$2:$F$1001,'Costs Log'!$B$2:$B$1001,$A19,'Costs Log'!$C$2:$C$1001,"Materials"))</f>
        <v/>
      </c>
      <c r="H19" s="16" t="str">
        <f aca="false">IF($A19="","",SUMIFS('Costs Log'!$F$2:$F$1001,'Costs Log'!$B$2:$B$1001,$A19,'Costs Log'!$C$2:$C$1001,"Subcontractors"))</f>
        <v/>
      </c>
      <c r="I19" s="16" t="str">
        <f aca="false">IF($A19="","",SUMIFS('Costs Log'!$F$2:$F$1001,'Costs Log'!$B$2:$B$1001,$A19,'Costs Log'!$C$2:$C$1001,"Equipment"))</f>
        <v/>
      </c>
      <c r="J19" s="16" t="str">
        <f aca="false">IF($A19="","",SUMIFS('Costs Log'!$F$2:$F$1001,'Costs Log'!$B$2:$B$1001,$A19,'Costs Log'!$C$2:$C$1001,"Other"))</f>
        <v/>
      </c>
      <c r="K19" s="16" t="str">
        <f aca="false">IF(A19="","",SUM(F19:J19))</f>
        <v/>
      </c>
      <c r="L19" s="17" t="str">
        <f aca="false">IF(OR(A19="",E19=0),"",K19/E19)</f>
        <v/>
      </c>
      <c r="M19" s="16" t="str">
        <f aca="false">IF(A19="","",Jobs!H17-F19)</f>
        <v/>
      </c>
      <c r="N19" s="16" t="str">
        <f aca="false">IF(A19="","",Jobs!I17-G19)</f>
        <v/>
      </c>
      <c r="O19" s="16" t="str">
        <f aca="false">IF(A19="","",SUMIFS('Payments Log'!$E$2:$E$1001,'Payments Log'!$B$2:$B$1001,A19))</f>
        <v/>
      </c>
      <c r="P19" s="16" t="str">
        <f aca="false">IF(A19="","",D19-O19)</f>
        <v/>
      </c>
      <c r="Q19" s="16" t="str">
        <f aca="false">IF(A19="","",O19-K19)</f>
        <v/>
      </c>
      <c r="R19" s="16" t="str">
        <f aca="false">IF(OR(A19="",C19="Bidding"),"",IFERROR(Settings!$B$4*12*D19/SUMIFS($D$4:$D$53,$C$4:$C$53,"&lt;&gt;Bidding"),0))</f>
        <v/>
      </c>
      <c r="S19" s="17" t="str">
        <f aca="false">IF(OR(A19="",D19=0),"",(D19-MAX(E19,K19)-N(R19))/D19)</f>
        <v/>
      </c>
      <c r="T19" s="24" t="str">
        <f aca="false">IF(A19="","",IF(K19&gt;E19,"OVER BUDGET",IF(S19&lt;Settings!$B$5,"Low margin","OK")))</f>
        <v/>
      </c>
    </row>
    <row r="20" customFormat="false" ht="15" hidden="false" customHeight="false" outlineLevel="0" collapsed="false">
      <c r="A20" s="22" t="str">
        <f aca="false">IF(Jobs!A18="","",Jobs!A18)</f>
        <v/>
      </c>
      <c r="B20" s="22" t="str">
        <f aca="false">IF(A20="","",Jobs!B18)</f>
        <v/>
      </c>
      <c r="C20" s="22" t="str">
        <f aca="false">IF(A20="","",Jobs!D18)</f>
        <v/>
      </c>
      <c r="D20" s="23" t="str">
        <f aca="false">IF(A20="","",Jobs!F18+Jobs!G18)</f>
        <v/>
      </c>
      <c r="E20" s="23" t="str">
        <f aca="false">IF(A20="","",Jobs!M18)</f>
        <v/>
      </c>
      <c r="F20" s="16" t="str">
        <f aca="false">IF($A20="","",SUMIFS('Costs Log'!$F$2:$F$1001,'Costs Log'!$B$2:$B$1001,$A20,'Costs Log'!$C$2:$C$1001,"Labor"))</f>
        <v/>
      </c>
      <c r="G20" s="16" t="str">
        <f aca="false">IF($A20="","",SUMIFS('Costs Log'!$F$2:$F$1001,'Costs Log'!$B$2:$B$1001,$A20,'Costs Log'!$C$2:$C$1001,"Materials"))</f>
        <v/>
      </c>
      <c r="H20" s="16" t="str">
        <f aca="false">IF($A20="","",SUMIFS('Costs Log'!$F$2:$F$1001,'Costs Log'!$B$2:$B$1001,$A20,'Costs Log'!$C$2:$C$1001,"Subcontractors"))</f>
        <v/>
      </c>
      <c r="I20" s="16" t="str">
        <f aca="false">IF($A20="","",SUMIFS('Costs Log'!$F$2:$F$1001,'Costs Log'!$B$2:$B$1001,$A20,'Costs Log'!$C$2:$C$1001,"Equipment"))</f>
        <v/>
      </c>
      <c r="J20" s="16" t="str">
        <f aca="false">IF($A20="","",SUMIFS('Costs Log'!$F$2:$F$1001,'Costs Log'!$B$2:$B$1001,$A20,'Costs Log'!$C$2:$C$1001,"Other"))</f>
        <v/>
      </c>
      <c r="K20" s="16" t="str">
        <f aca="false">IF(A20="","",SUM(F20:J20))</f>
        <v/>
      </c>
      <c r="L20" s="17" t="str">
        <f aca="false">IF(OR(A20="",E20=0),"",K20/E20)</f>
        <v/>
      </c>
      <c r="M20" s="16" t="str">
        <f aca="false">IF(A20="","",Jobs!H18-F20)</f>
        <v/>
      </c>
      <c r="N20" s="16" t="str">
        <f aca="false">IF(A20="","",Jobs!I18-G20)</f>
        <v/>
      </c>
      <c r="O20" s="16" t="str">
        <f aca="false">IF(A20="","",SUMIFS('Payments Log'!$E$2:$E$1001,'Payments Log'!$B$2:$B$1001,A20))</f>
        <v/>
      </c>
      <c r="P20" s="16" t="str">
        <f aca="false">IF(A20="","",D20-O20)</f>
        <v/>
      </c>
      <c r="Q20" s="16" t="str">
        <f aca="false">IF(A20="","",O20-K20)</f>
        <v/>
      </c>
      <c r="R20" s="16" t="str">
        <f aca="false">IF(OR(A20="",C20="Bidding"),"",IFERROR(Settings!$B$4*12*D20/SUMIFS($D$4:$D$53,$C$4:$C$53,"&lt;&gt;Bidding"),0))</f>
        <v/>
      </c>
      <c r="S20" s="17" t="str">
        <f aca="false">IF(OR(A20="",D20=0),"",(D20-MAX(E20,K20)-N(R20))/D20)</f>
        <v/>
      </c>
      <c r="T20" s="24" t="str">
        <f aca="false">IF(A20="","",IF(K20&gt;E20,"OVER BUDGET",IF(S20&lt;Settings!$B$5,"Low margin","OK")))</f>
        <v/>
      </c>
    </row>
    <row r="21" customFormat="false" ht="15" hidden="false" customHeight="false" outlineLevel="0" collapsed="false">
      <c r="A21" s="22" t="str">
        <f aca="false">IF(Jobs!A19="","",Jobs!A19)</f>
        <v/>
      </c>
      <c r="B21" s="22" t="str">
        <f aca="false">IF(A21="","",Jobs!B19)</f>
        <v/>
      </c>
      <c r="C21" s="22" t="str">
        <f aca="false">IF(A21="","",Jobs!D19)</f>
        <v/>
      </c>
      <c r="D21" s="23" t="str">
        <f aca="false">IF(A21="","",Jobs!F19+Jobs!G19)</f>
        <v/>
      </c>
      <c r="E21" s="23" t="str">
        <f aca="false">IF(A21="","",Jobs!M19)</f>
        <v/>
      </c>
      <c r="F21" s="16" t="str">
        <f aca="false">IF($A21="","",SUMIFS('Costs Log'!$F$2:$F$1001,'Costs Log'!$B$2:$B$1001,$A21,'Costs Log'!$C$2:$C$1001,"Labor"))</f>
        <v/>
      </c>
      <c r="G21" s="16" t="str">
        <f aca="false">IF($A21="","",SUMIFS('Costs Log'!$F$2:$F$1001,'Costs Log'!$B$2:$B$1001,$A21,'Costs Log'!$C$2:$C$1001,"Materials"))</f>
        <v/>
      </c>
      <c r="H21" s="16" t="str">
        <f aca="false">IF($A21="","",SUMIFS('Costs Log'!$F$2:$F$1001,'Costs Log'!$B$2:$B$1001,$A21,'Costs Log'!$C$2:$C$1001,"Subcontractors"))</f>
        <v/>
      </c>
      <c r="I21" s="16" t="str">
        <f aca="false">IF($A21="","",SUMIFS('Costs Log'!$F$2:$F$1001,'Costs Log'!$B$2:$B$1001,$A21,'Costs Log'!$C$2:$C$1001,"Equipment"))</f>
        <v/>
      </c>
      <c r="J21" s="16" t="str">
        <f aca="false">IF($A21="","",SUMIFS('Costs Log'!$F$2:$F$1001,'Costs Log'!$B$2:$B$1001,$A21,'Costs Log'!$C$2:$C$1001,"Other"))</f>
        <v/>
      </c>
      <c r="K21" s="16" t="str">
        <f aca="false">IF(A21="","",SUM(F21:J21))</f>
        <v/>
      </c>
      <c r="L21" s="17" t="str">
        <f aca="false">IF(OR(A21="",E21=0),"",K21/E21)</f>
        <v/>
      </c>
      <c r="M21" s="16" t="str">
        <f aca="false">IF(A21="","",Jobs!H19-F21)</f>
        <v/>
      </c>
      <c r="N21" s="16" t="str">
        <f aca="false">IF(A21="","",Jobs!I19-G21)</f>
        <v/>
      </c>
      <c r="O21" s="16" t="str">
        <f aca="false">IF(A21="","",SUMIFS('Payments Log'!$E$2:$E$1001,'Payments Log'!$B$2:$B$1001,A21))</f>
        <v/>
      </c>
      <c r="P21" s="16" t="str">
        <f aca="false">IF(A21="","",D21-O21)</f>
        <v/>
      </c>
      <c r="Q21" s="16" t="str">
        <f aca="false">IF(A21="","",O21-K21)</f>
        <v/>
      </c>
      <c r="R21" s="16" t="str">
        <f aca="false">IF(OR(A21="",C21="Bidding"),"",IFERROR(Settings!$B$4*12*D21/SUMIFS($D$4:$D$53,$C$4:$C$53,"&lt;&gt;Bidding"),0))</f>
        <v/>
      </c>
      <c r="S21" s="17" t="str">
        <f aca="false">IF(OR(A21="",D21=0),"",(D21-MAX(E21,K21)-N(R21))/D21)</f>
        <v/>
      </c>
      <c r="T21" s="24" t="str">
        <f aca="false">IF(A21="","",IF(K21&gt;E21,"OVER BUDGET",IF(S21&lt;Settings!$B$5,"Low margin","OK")))</f>
        <v/>
      </c>
    </row>
    <row r="22" customFormat="false" ht="15" hidden="false" customHeight="false" outlineLevel="0" collapsed="false">
      <c r="A22" s="22" t="str">
        <f aca="false">IF(Jobs!A20="","",Jobs!A20)</f>
        <v/>
      </c>
      <c r="B22" s="22" t="str">
        <f aca="false">IF(A22="","",Jobs!B20)</f>
        <v/>
      </c>
      <c r="C22" s="22" t="str">
        <f aca="false">IF(A22="","",Jobs!D20)</f>
        <v/>
      </c>
      <c r="D22" s="23" t="str">
        <f aca="false">IF(A22="","",Jobs!F20+Jobs!G20)</f>
        <v/>
      </c>
      <c r="E22" s="23" t="str">
        <f aca="false">IF(A22="","",Jobs!M20)</f>
        <v/>
      </c>
      <c r="F22" s="16" t="str">
        <f aca="false">IF($A22="","",SUMIFS('Costs Log'!$F$2:$F$1001,'Costs Log'!$B$2:$B$1001,$A22,'Costs Log'!$C$2:$C$1001,"Labor"))</f>
        <v/>
      </c>
      <c r="G22" s="16" t="str">
        <f aca="false">IF($A22="","",SUMIFS('Costs Log'!$F$2:$F$1001,'Costs Log'!$B$2:$B$1001,$A22,'Costs Log'!$C$2:$C$1001,"Materials"))</f>
        <v/>
      </c>
      <c r="H22" s="16" t="str">
        <f aca="false">IF($A22="","",SUMIFS('Costs Log'!$F$2:$F$1001,'Costs Log'!$B$2:$B$1001,$A22,'Costs Log'!$C$2:$C$1001,"Subcontractors"))</f>
        <v/>
      </c>
      <c r="I22" s="16" t="str">
        <f aca="false">IF($A22="","",SUMIFS('Costs Log'!$F$2:$F$1001,'Costs Log'!$B$2:$B$1001,$A22,'Costs Log'!$C$2:$C$1001,"Equipment"))</f>
        <v/>
      </c>
      <c r="J22" s="16" t="str">
        <f aca="false">IF($A22="","",SUMIFS('Costs Log'!$F$2:$F$1001,'Costs Log'!$B$2:$B$1001,$A22,'Costs Log'!$C$2:$C$1001,"Other"))</f>
        <v/>
      </c>
      <c r="K22" s="16" t="str">
        <f aca="false">IF(A22="","",SUM(F22:J22))</f>
        <v/>
      </c>
      <c r="L22" s="17" t="str">
        <f aca="false">IF(OR(A22="",E22=0),"",K22/E22)</f>
        <v/>
      </c>
      <c r="M22" s="16" t="str">
        <f aca="false">IF(A22="","",Jobs!H20-F22)</f>
        <v/>
      </c>
      <c r="N22" s="16" t="str">
        <f aca="false">IF(A22="","",Jobs!I20-G22)</f>
        <v/>
      </c>
      <c r="O22" s="16" t="str">
        <f aca="false">IF(A22="","",SUMIFS('Payments Log'!$E$2:$E$1001,'Payments Log'!$B$2:$B$1001,A22))</f>
        <v/>
      </c>
      <c r="P22" s="16" t="str">
        <f aca="false">IF(A22="","",D22-O22)</f>
        <v/>
      </c>
      <c r="Q22" s="16" t="str">
        <f aca="false">IF(A22="","",O22-K22)</f>
        <v/>
      </c>
      <c r="R22" s="16" t="str">
        <f aca="false">IF(OR(A22="",C22="Bidding"),"",IFERROR(Settings!$B$4*12*D22/SUMIFS($D$4:$D$53,$C$4:$C$53,"&lt;&gt;Bidding"),0))</f>
        <v/>
      </c>
      <c r="S22" s="17" t="str">
        <f aca="false">IF(OR(A22="",D22=0),"",(D22-MAX(E22,K22)-N(R22))/D22)</f>
        <v/>
      </c>
      <c r="T22" s="24" t="str">
        <f aca="false">IF(A22="","",IF(K22&gt;E22,"OVER BUDGET",IF(S22&lt;Settings!$B$5,"Low margin","OK")))</f>
        <v/>
      </c>
    </row>
    <row r="23" customFormat="false" ht="15" hidden="false" customHeight="false" outlineLevel="0" collapsed="false">
      <c r="A23" s="22" t="str">
        <f aca="false">IF(Jobs!A21="","",Jobs!A21)</f>
        <v/>
      </c>
      <c r="B23" s="22" t="str">
        <f aca="false">IF(A23="","",Jobs!B21)</f>
        <v/>
      </c>
      <c r="C23" s="22" t="str">
        <f aca="false">IF(A23="","",Jobs!D21)</f>
        <v/>
      </c>
      <c r="D23" s="23" t="str">
        <f aca="false">IF(A23="","",Jobs!F21+Jobs!G21)</f>
        <v/>
      </c>
      <c r="E23" s="23" t="str">
        <f aca="false">IF(A23="","",Jobs!M21)</f>
        <v/>
      </c>
      <c r="F23" s="16" t="str">
        <f aca="false">IF($A23="","",SUMIFS('Costs Log'!$F$2:$F$1001,'Costs Log'!$B$2:$B$1001,$A23,'Costs Log'!$C$2:$C$1001,"Labor"))</f>
        <v/>
      </c>
      <c r="G23" s="16" t="str">
        <f aca="false">IF($A23="","",SUMIFS('Costs Log'!$F$2:$F$1001,'Costs Log'!$B$2:$B$1001,$A23,'Costs Log'!$C$2:$C$1001,"Materials"))</f>
        <v/>
      </c>
      <c r="H23" s="16" t="str">
        <f aca="false">IF($A23="","",SUMIFS('Costs Log'!$F$2:$F$1001,'Costs Log'!$B$2:$B$1001,$A23,'Costs Log'!$C$2:$C$1001,"Subcontractors"))</f>
        <v/>
      </c>
      <c r="I23" s="16" t="str">
        <f aca="false">IF($A23="","",SUMIFS('Costs Log'!$F$2:$F$1001,'Costs Log'!$B$2:$B$1001,$A23,'Costs Log'!$C$2:$C$1001,"Equipment"))</f>
        <v/>
      </c>
      <c r="J23" s="16" t="str">
        <f aca="false">IF($A23="","",SUMIFS('Costs Log'!$F$2:$F$1001,'Costs Log'!$B$2:$B$1001,$A23,'Costs Log'!$C$2:$C$1001,"Other"))</f>
        <v/>
      </c>
      <c r="K23" s="16" t="str">
        <f aca="false">IF(A23="","",SUM(F23:J23))</f>
        <v/>
      </c>
      <c r="L23" s="17" t="str">
        <f aca="false">IF(OR(A23="",E23=0),"",K23/E23)</f>
        <v/>
      </c>
      <c r="M23" s="16" t="str">
        <f aca="false">IF(A23="","",Jobs!H21-F23)</f>
        <v/>
      </c>
      <c r="N23" s="16" t="str">
        <f aca="false">IF(A23="","",Jobs!I21-G23)</f>
        <v/>
      </c>
      <c r="O23" s="16" t="str">
        <f aca="false">IF(A23="","",SUMIFS('Payments Log'!$E$2:$E$1001,'Payments Log'!$B$2:$B$1001,A23))</f>
        <v/>
      </c>
      <c r="P23" s="16" t="str">
        <f aca="false">IF(A23="","",D23-O23)</f>
        <v/>
      </c>
      <c r="Q23" s="16" t="str">
        <f aca="false">IF(A23="","",O23-K23)</f>
        <v/>
      </c>
      <c r="R23" s="16" t="str">
        <f aca="false">IF(OR(A23="",C23="Bidding"),"",IFERROR(Settings!$B$4*12*D23/SUMIFS($D$4:$D$53,$C$4:$C$53,"&lt;&gt;Bidding"),0))</f>
        <v/>
      </c>
      <c r="S23" s="17" t="str">
        <f aca="false">IF(OR(A23="",D23=0),"",(D23-MAX(E23,K23)-N(R23))/D23)</f>
        <v/>
      </c>
      <c r="T23" s="24" t="str">
        <f aca="false">IF(A23="","",IF(K23&gt;E23,"OVER BUDGET",IF(S23&lt;Settings!$B$5,"Low margin","OK")))</f>
        <v/>
      </c>
    </row>
    <row r="24" customFormat="false" ht="15" hidden="false" customHeight="false" outlineLevel="0" collapsed="false">
      <c r="A24" s="22" t="str">
        <f aca="false">IF(Jobs!A22="","",Jobs!A22)</f>
        <v/>
      </c>
      <c r="B24" s="22" t="str">
        <f aca="false">IF(A24="","",Jobs!B22)</f>
        <v/>
      </c>
      <c r="C24" s="22" t="str">
        <f aca="false">IF(A24="","",Jobs!D22)</f>
        <v/>
      </c>
      <c r="D24" s="23" t="str">
        <f aca="false">IF(A24="","",Jobs!F22+Jobs!G22)</f>
        <v/>
      </c>
      <c r="E24" s="23" t="str">
        <f aca="false">IF(A24="","",Jobs!M22)</f>
        <v/>
      </c>
      <c r="F24" s="16" t="str">
        <f aca="false">IF($A24="","",SUMIFS('Costs Log'!$F$2:$F$1001,'Costs Log'!$B$2:$B$1001,$A24,'Costs Log'!$C$2:$C$1001,"Labor"))</f>
        <v/>
      </c>
      <c r="G24" s="16" t="str">
        <f aca="false">IF($A24="","",SUMIFS('Costs Log'!$F$2:$F$1001,'Costs Log'!$B$2:$B$1001,$A24,'Costs Log'!$C$2:$C$1001,"Materials"))</f>
        <v/>
      </c>
      <c r="H24" s="16" t="str">
        <f aca="false">IF($A24="","",SUMIFS('Costs Log'!$F$2:$F$1001,'Costs Log'!$B$2:$B$1001,$A24,'Costs Log'!$C$2:$C$1001,"Subcontractors"))</f>
        <v/>
      </c>
      <c r="I24" s="16" t="str">
        <f aca="false">IF($A24="","",SUMIFS('Costs Log'!$F$2:$F$1001,'Costs Log'!$B$2:$B$1001,$A24,'Costs Log'!$C$2:$C$1001,"Equipment"))</f>
        <v/>
      </c>
      <c r="J24" s="16" t="str">
        <f aca="false">IF($A24="","",SUMIFS('Costs Log'!$F$2:$F$1001,'Costs Log'!$B$2:$B$1001,$A24,'Costs Log'!$C$2:$C$1001,"Other"))</f>
        <v/>
      </c>
      <c r="K24" s="16" t="str">
        <f aca="false">IF(A24="","",SUM(F24:J24))</f>
        <v/>
      </c>
      <c r="L24" s="17" t="str">
        <f aca="false">IF(OR(A24="",E24=0),"",K24/E24)</f>
        <v/>
      </c>
      <c r="M24" s="16" t="str">
        <f aca="false">IF(A24="","",Jobs!H22-F24)</f>
        <v/>
      </c>
      <c r="N24" s="16" t="str">
        <f aca="false">IF(A24="","",Jobs!I22-G24)</f>
        <v/>
      </c>
      <c r="O24" s="16" t="str">
        <f aca="false">IF(A24="","",SUMIFS('Payments Log'!$E$2:$E$1001,'Payments Log'!$B$2:$B$1001,A24))</f>
        <v/>
      </c>
      <c r="P24" s="16" t="str">
        <f aca="false">IF(A24="","",D24-O24)</f>
        <v/>
      </c>
      <c r="Q24" s="16" t="str">
        <f aca="false">IF(A24="","",O24-K24)</f>
        <v/>
      </c>
      <c r="R24" s="16" t="str">
        <f aca="false">IF(OR(A24="",C24="Bidding"),"",IFERROR(Settings!$B$4*12*D24/SUMIFS($D$4:$D$53,$C$4:$C$53,"&lt;&gt;Bidding"),0))</f>
        <v/>
      </c>
      <c r="S24" s="17" t="str">
        <f aca="false">IF(OR(A24="",D24=0),"",(D24-MAX(E24,K24)-N(R24))/D24)</f>
        <v/>
      </c>
      <c r="T24" s="24" t="str">
        <f aca="false">IF(A24="","",IF(K24&gt;E24,"OVER BUDGET",IF(S24&lt;Settings!$B$5,"Low margin","OK")))</f>
        <v/>
      </c>
    </row>
    <row r="25" customFormat="false" ht="15" hidden="false" customHeight="false" outlineLevel="0" collapsed="false">
      <c r="A25" s="22" t="str">
        <f aca="false">IF(Jobs!A23="","",Jobs!A23)</f>
        <v/>
      </c>
      <c r="B25" s="22" t="str">
        <f aca="false">IF(A25="","",Jobs!B23)</f>
        <v/>
      </c>
      <c r="C25" s="22" t="str">
        <f aca="false">IF(A25="","",Jobs!D23)</f>
        <v/>
      </c>
      <c r="D25" s="23" t="str">
        <f aca="false">IF(A25="","",Jobs!F23+Jobs!G23)</f>
        <v/>
      </c>
      <c r="E25" s="23" t="str">
        <f aca="false">IF(A25="","",Jobs!M23)</f>
        <v/>
      </c>
      <c r="F25" s="16" t="str">
        <f aca="false">IF($A25="","",SUMIFS('Costs Log'!$F$2:$F$1001,'Costs Log'!$B$2:$B$1001,$A25,'Costs Log'!$C$2:$C$1001,"Labor"))</f>
        <v/>
      </c>
      <c r="G25" s="16" t="str">
        <f aca="false">IF($A25="","",SUMIFS('Costs Log'!$F$2:$F$1001,'Costs Log'!$B$2:$B$1001,$A25,'Costs Log'!$C$2:$C$1001,"Materials"))</f>
        <v/>
      </c>
      <c r="H25" s="16" t="str">
        <f aca="false">IF($A25="","",SUMIFS('Costs Log'!$F$2:$F$1001,'Costs Log'!$B$2:$B$1001,$A25,'Costs Log'!$C$2:$C$1001,"Subcontractors"))</f>
        <v/>
      </c>
      <c r="I25" s="16" t="str">
        <f aca="false">IF($A25="","",SUMIFS('Costs Log'!$F$2:$F$1001,'Costs Log'!$B$2:$B$1001,$A25,'Costs Log'!$C$2:$C$1001,"Equipment"))</f>
        <v/>
      </c>
      <c r="J25" s="16" t="str">
        <f aca="false">IF($A25="","",SUMIFS('Costs Log'!$F$2:$F$1001,'Costs Log'!$B$2:$B$1001,$A25,'Costs Log'!$C$2:$C$1001,"Other"))</f>
        <v/>
      </c>
      <c r="K25" s="16" t="str">
        <f aca="false">IF(A25="","",SUM(F25:J25))</f>
        <v/>
      </c>
      <c r="L25" s="17" t="str">
        <f aca="false">IF(OR(A25="",E25=0),"",K25/E25)</f>
        <v/>
      </c>
      <c r="M25" s="16" t="str">
        <f aca="false">IF(A25="","",Jobs!H23-F25)</f>
        <v/>
      </c>
      <c r="N25" s="16" t="str">
        <f aca="false">IF(A25="","",Jobs!I23-G25)</f>
        <v/>
      </c>
      <c r="O25" s="16" t="str">
        <f aca="false">IF(A25="","",SUMIFS('Payments Log'!$E$2:$E$1001,'Payments Log'!$B$2:$B$1001,A25))</f>
        <v/>
      </c>
      <c r="P25" s="16" t="str">
        <f aca="false">IF(A25="","",D25-O25)</f>
        <v/>
      </c>
      <c r="Q25" s="16" t="str">
        <f aca="false">IF(A25="","",O25-K25)</f>
        <v/>
      </c>
      <c r="R25" s="16" t="str">
        <f aca="false">IF(OR(A25="",C25="Bidding"),"",IFERROR(Settings!$B$4*12*D25/SUMIFS($D$4:$D$53,$C$4:$C$53,"&lt;&gt;Bidding"),0))</f>
        <v/>
      </c>
      <c r="S25" s="17" t="str">
        <f aca="false">IF(OR(A25="",D25=0),"",(D25-MAX(E25,K25)-N(R25))/D25)</f>
        <v/>
      </c>
      <c r="T25" s="24" t="str">
        <f aca="false">IF(A25="","",IF(K25&gt;E25,"OVER BUDGET",IF(S25&lt;Settings!$B$5,"Low margin","OK")))</f>
        <v/>
      </c>
    </row>
    <row r="26" customFormat="false" ht="15" hidden="false" customHeight="false" outlineLevel="0" collapsed="false">
      <c r="A26" s="22" t="str">
        <f aca="false">IF(Jobs!A24="","",Jobs!A24)</f>
        <v/>
      </c>
      <c r="B26" s="22" t="str">
        <f aca="false">IF(A26="","",Jobs!B24)</f>
        <v/>
      </c>
      <c r="C26" s="22" t="str">
        <f aca="false">IF(A26="","",Jobs!D24)</f>
        <v/>
      </c>
      <c r="D26" s="23" t="str">
        <f aca="false">IF(A26="","",Jobs!F24+Jobs!G24)</f>
        <v/>
      </c>
      <c r="E26" s="23" t="str">
        <f aca="false">IF(A26="","",Jobs!M24)</f>
        <v/>
      </c>
      <c r="F26" s="16" t="str">
        <f aca="false">IF($A26="","",SUMIFS('Costs Log'!$F$2:$F$1001,'Costs Log'!$B$2:$B$1001,$A26,'Costs Log'!$C$2:$C$1001,"Labor"))</f>
        <v/>
      </c>
      <c r="G26" s="16" t="str">
        <f aca="false">IF($A26="","",SUMIFS('Costs Log'!$F$2:$F$1001,'Costs Log'!$B$2:$B$1001,$A26,'Costs Log'!$C$2:$C$1001,"Materials"))</f>
        <v/>
      </c>
      <c r="H26" s="16" t="str">
        <f aca="false">IF($A26="","",SUMIFS('Costs Log'!$F$2:$F$1001,'Costs Log'!$B$2:$B$1001,$A26,'Costs Log'!$C$2:$C$1001,"Subcontractors"))</f>
        <v/>
      </c>
      <c r="I26" s="16" t="str">
        <f aca="false">IF($A26="","",SUMIFS('Costs Log'!$F$2:$F$1001,'Costs Log'!$B$2:$B$1001,$A26,'Costs Log'!$C$2:$C$1001,"Equipment"))</f>
        <v/>
      </c>
      <c r="J26" s="16" t="str">
        <f aca="false">IF($A26="","",SUMIFS('Costs Log'!$F$2:$F$1001,'Costs Log'!$B$2:$B$1001,$A26,'Costs Log'!$C$2:$C$1001,"Other"))</f>
        <v/>
      </c>
      <c r="K26" s="16" t="str">
        <f aca="false">IF(A26="","",SUM(F26:J26))</f>
        <v/>
      </c>
      <c r="L26" s="17" t="str">
        <f aca="false">IF(OR(A26="",E26=0),"",K26/E26)</f>
        <v/>
      </c>
      <c r="M26" s="16" t="str">
        <f aca="false">IF(A26="","",Jobs!H24-F26)</f>
        <v/>
      </c>
      <c r="N26" s="16" t="str">
        <f aca="false">IF(A26="","",Jobs!I24-G26)</f>
        <v/>
      </c>
      <c r="O26" s="16" t="str">
        <f aca="false">IF(A26="","",SUMIFS('Payments Log'!$E$2:$E$1001,'Payments Log'!$B$2:$B$1001,A26))</f>
        <v/>
      </c>
      <c r="P26" s="16" t="str">
        <f aca="false">IF(A26="","",D26-O26)</f>
        <v/>
      </c>
      <c r="Q26" s="16" t="str">
        <f aca="false">IF(A26="","",O26-K26)</f>
        <v/>
      </c>
      <c r="R26" s="16" t="str">
        <f aca="false">IF(OR(A26="",C26="Bidding"),"",IFERROR(Settings!$B$4*12*D26/SUMIFS($D$4:$D$53,$C$4:$C$53,"&lt;&gt;Bidding"),0))</f>
        <v/>
      </c>
      <c r="S26" s="17" t="str">
        <f aca="false">IF(OR(A26="",D26=0),"",(D26-MAX(E26,K26)-N(R26))/D26)</f>
        <v/>
      </c>
      <c r="T26" s="24" t="str">
        <f aca="false">IF(A26="","",IF(K26&gt;E26,"OVER BUDGET",IF(S26&lt;Settings!$B$5,"Low margin","OK")))</f>
        <v/>
      </c>
    </row>
    <row r="27" customFormat="false" ht="15" hidden="false" customHeight="false" outlineLevel="0" collapsed="false">
      <c r="A27" s="22" t="str">
        <f aca="false">IF(Jobs!A25="","",Jobs!A25)</f>
        <v/>
      </c>
      <c r="B27" s="22" t="str">
        <f aca="false">IF(A27="","",Jobs!B25)</f>
        <v/>
      </c>
      <c r="C27" s="22" t="str">
        <f aca="false">IF(A27="","",Jobs!D25)</f>
        <v/>
      </c>
      <c r="D27" s="23" t="str">
        <f aca="false">IF(A27="","",Jobs!F25+Jobs!G25)</f>
        <v/>
      </c>
      <c r="E27" s="23" t="str">
        <f aca="false">IF(A27="","",Jobs!M25)</f>
        <v/>
      </c>
      <c r="F27" s="16" t="str">
        <f aca="false">IF($A27="","",SUMIFS('Costs Log'!$F$2:$F$1001,'Costs Log'!$B$2:$B$1001,$A27,'Costs Log'!$C$2:$C$1001,"Labor"))</f>
        <v/>
      </c>
      <c r="G27" s="16" t="str">
        <f aca="false">IF($A27="","",SUMIFS('Costs Log'!$F$2:$F$1001,'Costs Log'!$B$2:$B$1001,$A27,'Costs Log'!$C$2:$C$1001,"Materials"))</f>
        <v/>
      </c>
      <c r="H27" s="16" t="str">
        <f aca="false">IF($A27="","",SUMIFS('Costs Log'!$F$2:$F$1001,'Costs Log'!$B$2:$B$1001,$A27,'Costs Log'!$C$2:$C$1001,"Subcontractors"))</f>
        <v/>
      </c>
      <c r="I27" s="16" t="str">
        <f aca="false">IF($A27="","",SUMIFS('Costs Log'!$F$2:$F$1001,'Costs Log'!$B$2:$B$1001,$A27,'Costs Log'!$C$2:$C$1001,"Equipment"))</f>
        <v/>
      </c>
      <c r="J27" s="16" t="str">
        <f aca="false">IF($A27="","",SUMIFS('Costs Log'!$F$2:$F$1001,'Costs Log'!$B$2:$B$1001,$A27,'Costs Log'!$C$2:$C$1001,"Other"))</f>
        <v/>
      </c>
      <c r="K27" s="16" t="str">
        <f aca="false">IF(A27="","",SUM(F27:J27))</f>
        <v/>
      </c>
      <c r="L27" s="17" t="str">
        <f aca="false">IF(OR(A27="",E27=0),"",K27/E27)</f>
        <v/>
      </c>
      <c r="M27" s="16" t="str">
        <f aca="false">IF(A27="","",Jobs!H25-F27)</f>
        <v/>
      </c>
      <c r="N27" s="16" t="str">
        <f aca="false">IF(A27="","",Jobs!I25-G27)</f>
        <v/>
      </c>
      <c r="O27" s="16" t="str">
        <f aca="false">IF(A27="","",SUMIFS('Payments Log'!$E$2:$E$1001,'Payments Log'!$B$2:$B$1001,A27))</f>
        <v/>
      </c>
      <c r="P27" s="16" t="str">
        <f aca="false">IF(A27="","",D27-O27)</f>
        <v/>
      </c>
      <c r="Q27" s="16" t="str">
        <f aca="false">IF(A27="","",O27-K27)</f>
        <v/>
      </c>
      <c r="R27" s="16" t="str">
        <f aca="false">IF(OR(A27="",C27="Bidding"),"",IFERROR(Settings!$B$4*12*D27/SUMIFS($D$4:$D$53,$C$4:$C$53,"&lt;&gt;Bidding"),0))</f>
        <v/>
      </c>
      <c r="S27" s="17" t="str">
        <f aca="false">IF(OR(A27="",D27=0),"",(D27-MAX(E27,K27)-N(R27))/D27)</f>
        <v/>
      </c>
      <c r="T27" s="24" t="str">
        <f aca="false">IF(A27="","",IF(K27&gt;E27,"OVER BUDGET",IF(S27&lt;Settings!$B$5,"Low margin","OK")))</f>
        <v/>
      </c>
    </row>
    <row r="28" customFormat="false" ht="15" hidden="false" customHeight="false" outlineLevel="0" collapsed="false">
      <c r="A28" s="22" t="str">
        <f aca="false">IF(Jobs!A26="","",Jobs!A26)</f>
        <v/>
      </c>
      <c r="B28" s="22" t="str">
        <f aca="false">IF(A28="","",Jobs!B26)</f>
        <v/>
      </c>
      <c r="C28" s="22" t="str">
        <f aca="false">IF(A28="","",Jobs!D26)</f>
        <v/>
      </c>
      <c r="D28" s="23" t="str">
        <f aca="false">IF(A28="","",Jobs!F26+Jobs!G26)</f>
        <v/>
      </c>
      <c r="E28" s="23" t="str">
        <f aca="false">IF(A28="","",Jobs!M26)</f>
        <v/>
      </c>
      <c r="F28" s="16" t="str">
        <f aca="false">IF($A28="","",SUMIFS('Costs Log'!$F$2:$F$1001,'Costs Log'!$B$2:$B$1001,$A28,'Costs Log'!$C$2:$C$1001,"Labor"))</f>
        <v/>
      </c>
      <c r="G28" s="16" t="str">
        <f aca="false">IF($A28="","",SUMIFS('Costs Log'!$F$2:$F$1001,'Costs Log'!$B$2:$B$1001,$A28,'Costs Log'!$C$2:$C$1001,"Materials"))</f>
        <v/>
      </c>
      <c r="H28" s="16" t="str">
        <f aca="false">IF($A28="","",SUMIFS('Costs Log'!$F$2:$F$1001,'Costs Log'!$B$2:$B$1001,$A28,'Costs Log'!$C$2:$C$1001,"Subcontractors"))</f>
        <v/>
      </c>
      <c r="I28" s="16" t="str">
        <f aca="false">IF($A28="","",SUMIFS('Costs Log'!$F$2:$F$1001,'Costs Log'!$B$2:$B$1001,$A28,'Costs Log'!$C$2:$C$1001,"Equipment"))</f>
        <v/>
      </c>
      <c r="J28" s="16" t="str">
        <f aca="false">IF($A28="","",SUMIFS('Costs Log'!$F$2:$F$1001,'Costs Log'!$B$2:$B$1001,$A28,'Costs Log'!$C$2:$C$1001,"Other"))</f>
        <v/>
      </c>
      <c r="K28" s="16" t="str">
        <f aca="false">IF(A28="","",SUM(F28:J28))</f>
        <v/>
      </c>
      <c r="L28" s="17" t="str">
        <f aca="false">IF(OR(A28="",E28=0),"",K28/E28)</f>
        <v/>
      </c>
      <c r="M28" s="16" t="str">
        <f aca="false">IF(A28="","",Jobs!H26-F28)</f>
        <v/>
      </c>
      <c r="N28" s="16" t="str">
        <f aca="false">IF(A28="","",Jobs!I26-G28)</f>
        <v/>
      </c>
      <c r="O28" s="16" t="str">
        <f aca="false">IF(A28="","",SUMIFS('Payments Log'!$E$2:$E$1001,'Payments Log'!$B$2:$B$1001,A28))</f>
        <v/>
      </c>
      <c r="P28" s="16" t="str">
        <f aca="false">IF(A28="","",D28-O28)</f>
        <v/>
      </c>
      <c r="Q28" s="16" t="str">
        <f aca="false">IF(A28="","",O28-K28)</f>
        <v/>
      </c>
      <c r="R28" s="16" t="str">
        <f aca="false">IF(OR(A28="",C28="Bidding"),"",IFERROR(Settings!$B$4*12*D28/SUMIFS($D$4:$D$53,$C$4:$C$53,"&lt;&gt;Bidding"),0))</f>
        <v/>
      </c>
      <c r="S28" s="17" t="str">
        <f aca="false">IF(OR(A28="",D28=0),"",(D28-MAX(E28,K28)-N(R28))/D28)</f>
        <v/>
      </c>
      <c r="T28" s="24" t="str">
        <f aca="false">IF(A28="","",IF(K28&gt;E28,"OVER BUDGET",IF(S28&lt;Settings!$B$5,"Low margin","OK")))</f>
        <v/>
      </c>
    </row>
    <row r="29" customFormat="false" ht="15" hidden="false" customHeight="false" outlineLevel="0" collapsed="false">
      <c r="A29" s="22" t="str">
        <f aca="false">IF(Jobs!A27="","",Jobs!A27)</f>
        <v/>
      </c>
      <c r="B29" s="22" t="str">
        <f aca="false">IF(A29="","",Jobs!B27)</f>
        <v/>
      </c>
      <c r="C29" s="22" t="str">
        <f aca="false">IF(A29="","",Jobs!D27)</f>
        <v/>
      </c>
      <c r="D29" s="23" t="str">
        <f aca="false">IF(A29="","",Jobs!F27+Jobs!G27)</f>
        <v/>
      </c>
      <c r="E29" s="23" t="str">
        <f aca="false">IF(A29="","",Jobs!M27)</f>
        <v/>
      </c>
      <c r="F29" s="16" t="str">
        <f aca="false">IF($A29="","",SUMIFS('Costs Log'!$F$2:$F$1001,'Costs Log'!$B$2:$B$1001,$A29,'Costs Log'!$C$2:$C$1001,"Labor"))</f>
        <v/>
      </c>
      <c r="G29" s="16" t="str">
        <f aca="false">IF($A29="","",SUMIFS('Costs Log'!$F$2:$F$1001,'Costs Log'!$B$2:$B$1001,$A29,'Costs Log'!$C$2:$C$1001,"Materials"))</f>
        <v/>
      </c>
      <c r="H29" s="16" t="str">
        <f aca="false">IF($A29="","",SUMIFS('Costs Log'!$F$2:$F$1001,'Costs Log'!$B$2:$B$1001,$A29,'Costs Log'!$C$2:$C$1001,"Subcontractors"))</f>
        <v/>
      </c>
      <c r="I29" s="16" t="str">
        <f aca="false">IF($A29="","",SUMIFS('Costs Log'!$F$2:$F$1001,'Costs Log'!$B$2:$B$1001,$A29,'Costs Log'!$C$2:$C$1001,"Equipment"))</f>
        <v/>
      </c>
      <c r="J29" s="16" t="str">
        <f aca="false">IF($A29="","",SUMIFS('Costs Log'!$F$2:$F$1001,'Costs Log'!$B$2:$B$1001,$A29,'Costs Log'!$C$2:$C$1001,"Other"))</f>
        <v/>
      </c>
      <c r="K29" s="16" t="str">
        <f aca="false">IF(A29="","",SUM(F29:J29))</f>
        <v/>
      </c>
      <c r="L29" s="17" t="str">
        <f aca="false">IF(OR(A29="",E29=0),"",K29/E29)</f>
        <v/>
      </c>
      <c r="M29" s="16" t="str">
        <f aca="false">IF(A29="","",Jobs!H27-F29)</f>
        <v/>
      </c>
      <c r="N29" s="16" t="str">
        <f aca="false">IF(A29="","",Jobs!I27-G29)</f>
        <v/>
      </c>
      <c r="O29" s="16" t="str">
        <f aca="false">IF(A29="","",SUMIFS('Payments Log'!$E$2:$E$1001,'Payments Log'!$B$2:$B$1001,A29))</f>
        <v/>
      </c>
      <c r="P29" s="16" t="str">
        <f aca="false">IF(A29="","",D29-O29)</f>
        <v/>
      </c>
      <c r="Q29" s="16" t="str">
        <f aca="false">IF(A29="","",O29-K29)</f>
        <v/>
      </c>
      <c r="R29" s="16" t="str">
        <f aca="false">IF(OR(A29="",C29="Bidding"),"",IFERROR(Settings!$B$4*12*D29/SUMIFS($D$4:$D$53,$C$4:$C$53,"&lt;&gt;Bidding"),0))</f>
        <v/>
      </c>
      <c r="S29" s="17" t="str">
        <f aca="false">IF(OR(A29="",D29=0),"",(D29-MAX(E29,K29)-N(R29))/D29)</f>
        <v/>
      </c>
      <c r="T29" s="24" t="str">
        <f aca="false">IF(A29="","",IF(K29&gt;E29,"OVER BUDGET",IF(S29&lt;Settings!$B$5,"Low margin","OK")))</f>
        <v/>
      </c>
    </row>
    <row r="30" customFormat="false" ht="15" hidden="false" customHeight="false" outlineLevel="0" collapsed="false">
      <c r="A30" s="22" t="str">
        <f aca="false">IF(Jobs!A28="","",Jobs!A28)</f>
        <v/>
      </c>
      <c r="B30" s="22" t="str">
        <f aca="false">IF(A30="","",Jobs!B28)</f>
        <v/>
      </c>
      <c r="C30" s="22" t="str">
        <f aca="false">IF(A30="","",Jobs!D28)</f>
        <v/>
      </c>
      <c r="D30" s="23" t="str">
        <f aca="false">IF(A30="","",Jobs!F28+Jobs!G28)</f>
        <v/>
      </c>
      <c r="E30" s="23" t="str">
        <f aca="false">IF(A30="","",Jobs!M28)</f>
        <v/>
      </c>
      <c r="F30" s="16" t="str">
        <f aca="false">IF($A30="","",SUMIFS('Costs Log'!$F$2:$F$1001,'Costs Log'!$B$2:$B$1001,$A30,'Costs Log'!$C$2:$C$1001,"Labor"))</f>
        <v/>
      </c>
      <c r="G30" s="16" t="str">
        <f aca="false">IF($A30="","",SUMIFS('Costs Log'!$F$2:$F$1001,'Costs Log'!$B$2:$B$1001,$A30,'Costs Log'!$C$2:$C$1001,"Materials"))</f>
        <v/>
      </c>
      <c r="H30" s="16" t="str">
        <f aca="false">IF($A30="","",SUMIFS('Costs Log'!$F$2:$F$1001,'Costs Log'!$B$2:$B$1001,$A30,'Costs Log'!$C$2:$C$1001,"Subcontractors"))</f>
        <v/>
      </c>
      <c r="I30" s="16" t="str">
        <f aca="false">IF($A30="","",SUMIFS('Costs Log'!$F$2:$F$1001,'Costs Log'!$B$2:$B$1001,$A30,'Costs Log'!$C$2:$C$1001,"Equipment"))</f>
        <v/>
      </c>
      <c r="J30" s="16" t="str">
        <f aca="false">IF($A30="","",SUMIFS('Costs Log'!$F$2:$F$1001,'Costs Log'!$B$2:$B$1001,$A30,'Costs Log'!$C$2:$C$1001,"Other"))</f>
        <v/>
      </c>
      <c r="K30" s="16" t="str">
        <f aca="false">IF(A30="","",SUM(F30:J30))</f>
        <v/>
      </c>
      <c r="L30" s="17" t="str">
        <f aca="false">IF(OR(A30="",E30=0),"",K30/E30)</f>
        <v/>
      </c>
      <c r="M30" s="16" t="str">
        <f aca="false">IF(A30="","",Jobs!H28-F30)</f>
        <v/>
      </c>
      <c r="N30" s="16" t="str">
        <f aca="false">IF(A30="","",Jobs!I28-G30)</f>
        <v/>
      </c>
      <c r="O30" s="16" t="str">
        <f aca="false">IF(A30="","",SUMIFS('Payments Log'!$E$2:$E$1001,'Payments Log'!$B$2:$B$1001,A30))</f>
        <v/>
      </c>
      <c r="P30" s="16" t="str">
        <f aca="false">IF(A30="","",D30-O30)</f>
        <v/>
      </c>
      <c r="Q30" s="16" t="str">
        <f aca="false">IF(A30="","",O30-K30)</f>
        <v/>
      </c>
      <c r="R30" s="16" t="str">
        <f aca="false">IF(OR(A30="",C30="Bidding"),"",IFERROR(Settings!$B$4*12*D30/SUMIFS($D$4:$D$53,$C$4:$C$53,"&lt;&gt;Bidding"),0))</f>
        <v/>
      </c>
      <c r="S30" s="17" t="str">
        <f aca="false">IF(OR(A30="",D30=0),"",(D30-MAX(E30,K30)-N(R30))/D30)</f>
        <v/>
      </c>
      <c r="T30" s="24" t="str">
        <f aca="false">IF(A30="","",IF(K30&gt;E30,"OVER BUDGET",IF(S30&lt;Settings!$B$5,"Low margin","OK")))</f>
        <v/>
      </c>
    </row>
    <row r="31" customFormat="false" ht="15" hidden="false" customHeight="false" outlineLevel="0" collapsed="false">
      <c r="A31" s="22" t="str">
        <f aca="false">IF(Jobs!A29="","",Jobs!A29)</f>
        <v/>
      </c>
      <c r="B31" s="22" t="str">
        <f aca="false">IF(A31="","",Jobs!B29)</f>
        <v/>
      </c>
      <c r="C31" s="22" t="str">
        <f aca="false">IF(A31="","",Jobs!D29)</f>
        <v/>
      </c>
      <c r="D31" s="23" t="str">
        <f aca="false">IF(A31="","",Jobs!F29+Jobs!G29)</f>
        <v/>
      </c>
      <c r="E31" s="23" t="str">
        <f aca="false">IF(A31="","",Jobs!M29)</f>
        <v/>
      </c>
      <c r="F31" s="16" t="str">
        <f aca="false">IF($A31="","",SUMIFS('Costs Log'!$F$2:$F$1001,'Costs Log'!$B$2:$B$1001,$A31,'Costs Log'!$C$2:$C$1001,"Labor"))</f>
        <v/>
      </c>
      <c r="G31" s="16" t="str">
        <f aca="false">IF($A31="","",SUMIFS('Costs Log'!$F$2:$F$1001,'Costs Log'!$B$2:$B$1001,$A31,'Costs Log'!$C$2:$C$1001,"Materials"))</f>
        <v/>
      </c>
      <c r="H31" s="16" t="str">
        <f aca="false">IF($A31="","",SUMIFS('Costs Log'!$F$2:$F$1001,'Costs Log'!$B$2:$B$1001,$A31,'Costs Log'!$C$2:$C$1001,"Subcontractors"))</f>
        <v/>
      </c>
      <c r="I31" s="16" t="str">
        <f aca="false">IF($A31="","",SUMIFS('Costs Log'!$F$2:$F$1001,'Costs Log'!$B$2:$B$1001,$A31,'Costs Log'!$C$2:$C$1001,"Equipment"))</f>
        <v/>
      </c>
      <c r="J31" s="16" t="str">
        <f aca="false">IF($A31="","",SUMIFS('Costs Log'!$F$2:$F$1001,'Costs Log'!$B$2:$B$1001,$A31,'Costs Log'!$C$2:$C$1001,"Other"))</f>
        <v/>
      </c>
      <c r="K31" s="16" t="str">
        <f aca="false">IF(A31="","",SUM(F31:J31))</f>
        <v/>
      </c>
      <c r="L31" s="17" t="str">
        <f aca="false">IF(OR(A31="",E31=0),"",K31/E31)</f>
        <v/>
      </c>
      <c r="M31" s="16" t="str">
        <f aca="false">IF(A31="","",Jobs!H29-F31)</f>
        <v/>
      </c>
      <c r="N31" s="16" t="str">
        <f aca="false">IF(A31="","",Jobs!I29-G31)</f>
        <v/>
      </c>
      <c r="O31" s="16" t="str">
        <f aca="false">IF(A31="","",SUMIFS('Payments Log'!$E$2:$E$1001,'Payments Log'!$B$2:$B$1001,A31))</f>
        <v/>
      </c>
      <c r="P31" s="16" t="str">
        <f aca="false">IF(A31="","",D31-O31)</f>
        <v/>
      </c>
      <c r="Q31" s="16" t="str">
        <f aca="false">IF(A31="","",O31-K31)</f>
        <v/>
      </c>
      <c r="R31" s="16" t="str">
        <f aca="false">IF(OR(A31="",C31="Bidding"),"",IFERROR(Settings!$B$4*12*D31/SUMIFS($D$4:$D$53,$C$4:$C$53,"&lt;&gt;Bidding"),0))</f>
        <v/>
      </c>
      <c r="S31" s="17" t="str">
        <f aca="false">IF(OR(A31="",D31=0),"",(D31-MAX(E31,K31)-N(R31))/D31)</f>
        <v/>
      </c>
      <c r="T31" s="24" t="str">
        <f aca="false">IF(A31="","",IF(K31&gt;E31,"OVER BUDGET",IF(S31&lt;Settings!$B$5,"Low margin","OK")))</f>
        <v/>
      </c>
    </row>
    <row r="32" customFormat="false" ht="15" hidden="false" customHeight="false" outlineLevel="0" collapsed="false">
      <c r="A32" s="22" t="str">
        <f aca="false">IF(Jobs!A30="","",Jobs!A30)</f>
        <v/>
      </c>
      <c r="B32" s="22" t="str">
        <f aca="false">IF(A32="","",Jobs!B30)</f>
        <v/>
      </c>
      <c r="C32" s="22" t="str">
        <f aca="false">IF(A32="","",Jobs!D30)</f>
        <v/>
      </c>
      <c r="D32" s="23" t="str">
        <f aca="false">IF(A32="","",Jobs!F30+Jobs!G30)</f>
        <v/>
      </c>
      <c r="E32" s="23" t="str">
        <f aca="false">IF(A32="","",Jobs!M30)</f>
        <v/>
      </c>
      <c r="F32" s="16" t="str">
        <f aca="false">IF($A32="","",SUMIFS('Costs Log'!$F$2:$F$1001,'Costs Log'!$B$2:$B$1001,$A32,'Costs Log'!$C$2:$C$1001,"Labor"))</f>
        <v/>
      </c>
      <c r="G32" s="16" t="str">
        <f aca="false">IF($A32="","",SUMIFS('Costs Log'!$F$2:$F$1001,'Costs Log'!$B$2:$B$1001,$A32,'Costs Log'!$C$2:$C$1001,"Materials"))</f>
        <v/>
      </c>
      <c r="H32" s="16" t="str">
        <f aca="false">IF($A32="","",SUMIFS('Costs Log'!$F$2:$F$1001,'Costs Log'!$B$2:$B$1001,$A32,'Costs Log'!$C$2:$C$1001,"Subcontractors"))</f>
        <v/>
      </c>
      <c r="I32" s="16" t="str">
        <f aca="false">IF($A32="","",SUMIFS('Costs Log'!$F$2:$F$1001,'Costs Log'!$B$2:$B$1001,$A32,'Costs Log'!$C$2:$C$1001,"Equipment"))</f>
        <v/>
      </c>
      <c r="J32" s="16" t="str">
        <f aca="false">IF($A32="","",SUMIFS('Costs Log'!$F$2:$F$1001,'Costs Log'!$B$2:$B$1001,$A32,'Costs Log'!$C$2:$C$1001,"Other"))</f>
        <v/>
      </c>
      <c r="K32" s="16" t="str">
        <f aca="false">IF(A32="","",SUM(F32:J32))</f>
        <v/>
      </c>
      <c r="L32" s="17" t="str">
        <f aca="false">IF(OR(A32="",E32=0),"",K32/E32)</f>
        <v/>
      </c>
      <c r="M32" s="16" t="str">
        <f aca="false">IF(A32="","",Jobs!H30-F32)</f>
        <v/>
      </c>
      <c r="N32" s="16" t="str">
        <f aca="false">IF(A32="","",Jobs!I30-G32)</f>
        <v/>
      </c>
      <c r="O32" s="16" t="str">
        <f aca="false">IF(A32="","",SUMIFS('Payments Log'!$E$2:$E$1001,'Payments Log'!$B$2:$B$1001,A32))</f>
        <v/>
      </c>
      <c r="P32" s="16" t="str">
        <f aca="false">IF(A32="","",D32-O32)</f>
        <v/>
      </c>
      <c r="Q32" s="16" t="str">
        <f aca="false">IF(A32="","",O32-K32)</f>
        <v/>
      </c>
      <c r="R32" s="16" t="str">
        <f aca="false">IF(OR(A32="",C32="Bidding"),"",IFERROR(Settings!$B$4*12*D32/SUMIFS($D$4:$D$53,$C$4:$C$53,"&lt;&gt;Bidding"),0))</f>
        <v/>
      </c>
      <c r="S32" s="17" t="str">
        <f aca="false">IF(OR(A32="",D32=0),"",(D32-MAX(E32,K32)-N(R32))/D32)</f>
        <v/>
      </c>
      <c r="T32" s="24" t="str">
        <f aca="false">IF(A32="","",IF(K32&gt;E32,"OVER BUDGET",IF(S32&lt;Settings!$B$5,"Low margin","OK")))</f>
        <v/>
      </c>
    </row>
    <row r="33" customFormat="false" ht="15" hidden="false" customHeight="false" outlineLevel="0" collapsed="false">
      <c r="A33" s="22" t="str">
        <f aca="false">IF(Jobs!A31="","",Jobs!A31)</f>
        <v/>
      </c>
      <c r="B33" s="22" t="str">
        <f aca="false">IF(A33="","",Jobs!B31)</f>
        <v/>
      </c>
      <c r="C33" s="22" t="str">
        <f aca="false">IF(A33="","",Jobs!D31)</f>
        <v/>
      </c>
      <c r="D33" s="23" t="str">
        <f aca="false">IF(A33="","",Jobs!F31+Jobs!G31)</f>
        <v/>
      </c>
      <c r="E33" s="23" t="str">
        <f aca="false">IF(A33="","",Jobs!M31)</f>
        <v/>
      </c>
      <c r="F33" s="16" t="str">
        <f aca="false">IF($A33="","",SUMIFS('Costs Log'!$F$2:$F$1001,'Costs Log'!$B$2:$B$1001,$A33,'Costs Log'!$C$2:$C$1001,"Labor"))</f>
        <v/>
      </c>
      <c r="G33" s="16" t="str">
        <f aca="false">IF($A33="","",SUMIFS('Costs Log'!$F$2:$F$1001,'Costs Log'!$B$2:$B$1001,$A33,'Costs Log'!$C$2:$C$1001,"Materials"))</f>
        <v/>
      </c>
      <c r="H33" s="16" t="str">
        <f aca="false">IF($A33="","",SUMIFS('Costs Log'!$F$2:$F$1001,'Costs Log'!$B$2:$B$1001,$A33,'Costs Log'!$C$2:$C$1001,"Subcontractors"))</f>
        <v/>
      </c>
      <c r="I33" s="16" t="str">
        <f aca="false">IF($A33="","",SUMIFS('Costs Log'!$F$2:$F$1001,'Costs Log'!$B$2:$B$1001,$A33,'Costs Log'!$C$2:$C$1001,"Equipment"))</f>
        <v/>
      </c>
      <c r="J33" s="16" t="str">
        <f aca="false">IF($A33="","",SUMIFS('Costs Log'!$F$2:$F$1001,'Costs Log'!$B$2:$B$1001,$A33,'Costs Log'!$C$2:$C$1001,"Other"))</f>
        <v/>
      </c>
      <c r="K33" s="16" t="str">
        <f aca="false">IF(A33="","",SUM(F33:J33))</f>
        <v/>
      </c>
      <c r="L33" s="17" t="str">
        <f aca="false">IF(OR(A33="",E33=0),"",K33/E33)</f>
        <v/>
      </c>
      <c r="M33" s="16" t="str">
        <f aca="false">IF(A33="","",Jobs!H31-F33)</f>
        <v/>
      </c>
      <c r="N33" s="16" t="str">
        <f aca="false">IF(A33="","",Jobs!I31-G33)</f>
        <v/>
      </c>
      <c r="O33" s="16" t="str">
        <f aca="false">IF(A33="","",SUMIFS('Payments Log'!$E$2:$E$1001,'Payments Log'!$B$2:$B$1001,A33))</f>
        <v/>
      </c>
      <c r="P33" s="16" t="str">
        <f aca="false">IF(A33="","",D33-O33)</f>
        <v/>
      </c>
      <c r="Q33" s="16" t="str">
        <f aca="false">IF(A33="","",O33-K33)</f>
        <v/>
      </c>
      <c r="R33" s="16" t="str">
        <f aca="false">IF(OR(A33="",C33="Bidding"),"",IFERROR(Settings!$B$4*12*D33/SUMIFS($D$4:$D$53,$C$4:$C$53,"&lt;&gt;Bidding"),0))</f>
        <v/>
      </c>
      <c r="S33" s="17" t="str">
        <f aca="false">IF(OR(A33="",D33=0),"",(D33-MAX(E33,K33)-N(R33))/D33)</f>
        <v/>
      </c>
      <c r="T33" s="24" t="str">
        <f aca="false">IF(A33="","",IF(K33&gt;E33,"OVER BUDGET",IF(S33&lt;Settings!$B$5,"Low margin","OK")))</f>
        <v/>
      </c>
    </row>
    <row r="34" customFormat="false" ht="15" hidden="false" customHeight="false" outlineLevel="0" collapsed="false">
      <c r="A34" s="22" t="str">
        <f aca="false">IF(Jobs!A32="","",Jobs!A32)</f>
        <v/>
      </c>
      <c r="B34" s="22" t="str">
        <f aca="false">IF(A34="","",Jobs!B32)</f>
        <v/>
      </c>
      <c r="C34" s="22" t="str">
        <f aca="false">IF(A34="","",Jobs!D32)</f>
        <v/>
      </c>
      <c r="D34" s="23" t="str">
        <f aca="false">IF(A34="","",Jobs!F32+Jobs!G32)</f>
        <v/>
      </c>
      <c r="E34" s="23" t="str">
        <f aca="false">IF(A34="","",Jobs!M32)</f>
        <v/>
      </c>
      <c r="F34" s="16" t="str">
        <f aca="false">IF($A34="","",SUMIFS('Costs Log'!$F$2:$F$1001,'Costs Log'!$B$2:$B$1001,$A34,'Costs Log'!$C$2:$C$1001,"Labor"))</f>
        <v/>
      </c>
      <c r="G34" s="16" t="str">
        <f aca="false">IF($A34="","",SUMIFS('Costs Log'!$F$2:$F$1001,'Costs Log'!$B$2:$B$1001,$A34,'Costs Log'!$C$2:$C$1001,"Materials"))</f>
        <v/>
      </c>
      <c r="H34" s="16" t="str">
        <f aca="false">IF($A34="","",SUMIFS('Costs Log'!$F$2:$F$1001,'Costs Log'!$B$2:$B$1001,$A34,'Costs Log'!$C$2:$C$1001,"Subcontractors"))</f>
        <v/>
      </c>
      <c r="I34" s="16" t="str">
        <f aca="false">IF($A34="","",SUMIFS('Costs Log'!$F$2:$F$1001,'Costs Log'!$B$2:$B$1001,$A34,'Costs Log'!$C$2:$C$1001,"Equipment"))</f>
        <v/>
      </c>
      <c r="J34" s="16" t="str">
        <f aca="false">IF($A34="","",SUMIFS('Costs Log'!$F$2:$F$1001,'Costs Log'!$B$2:$B$1001,$A34,'Costs Log'!$C$2:$C$1001,"Other"))</f>
        <v/>
      </c>
      <c r="K34" s="16" t="str">
        <f aca="false">IF(A34="","",SUM(F34:J34))</f>
        <v/>
      </c>
      <c r="L34" s="17" t="str">
        <f aca="false">IF(OR(A34="",E34=0),"",K34/E34)</f>
        <v/>
      </c>
      <c r="M34" s="16" t="str">
        <f aca="false">IF(A34="","",Jobs!H32-F34)</f>
        <v/>
      </c>
      <c r="N34" s="16" t="str">
        <f aca="false">IF(A34="","",Jobs!I32-G34)</f>
        <v/>
      </c>
      <c r="O34" s="16" t="str">
        <f aca="false">IF(A34="","",SUMIFS('Payments Log'!$E$2:$E$1001,'Payments Log'!$B$2:$B$1001,A34))</f>
        <v/>
      </c>
      <c r="P34" s="16" t="str">
        <f aca="false">IF(A34="","",D34-O34)</f>
        <v/>
      </c>
      <c r="Q34" s="16" t="str">
        <f aca="false">IF(A34="","",O34-K34)</f>
        <v/>
      </c>
      <c r="R34" s="16" t="str">
        <f aca="false">IF(OR(A34="",C34="Bidding"),"",IFERROR(Settings!$B$4*12*D34/SUMIFS($D$4:$D$53,$C$4:$C$53,"&lt;&gt;Bidding"),0))</f>
        <v/>
      </c>
      <c r="S34" s="17" t="str">
        <f aca="false">IF(OR(A34="",D34=0),"",(D34-MAX(E34,K34)-N(R34))/D34)</f>
        <v/>
      </c>
      <c r="T34" s="24" t="str">
        <f aca="false">IF(A34="","",IF(K34&gt;E34,"OVER BUDGET",IF(S34&lt;Settings!$B$5,"Low margin","OK")))</f>
        <v/>
      </c>
    </row>
    <row r="35" customFormat="false" ht="15" hidden="false" customHeight="false" outlineLevel="0" collapsed="false">
      <c r="A35" s="22" t="str">
        <f aca="false">IF(Jobs!A33="","",Jobs!A33)</f>
        <v/>
      </c>
      <c r="B35" s="22" t="str">
        <f aca="false">IF(A35="","",Jobs!B33)</f>
        <v/>
      </c>
      <c r="C35" s="22" t="str">
        <f aca="false">IF(A35="","",Jobs!D33)</f>
        <v/>
      </c>
      <c r="D35" s="23" t="str">
        <f aca="false">IF(A35="","",Jobs!F33+Jobs!G33)</f>
        <v/>
      </c>
      <c r="E35" s="23" t="str">
        <f aca="false">IF(A35="","",Jobs!M33)</f>
        <v/>
      </c>
      <c r="F35" s="16" t="str">
        <f aca="false">IF($A35="","",SUMIFS('Costs Log'!$F$2:$F$1001,'Costs Log'!$B$2:$B$1001,$A35,'Costs Log'!$C$2:$C$1001,"Labor"))</f>
        <v/>
      </c>
      <c r="G35" s="16" t="str">
        <f aca="false">IF($A35="","",SUMIFS('Costs Log'!$F$2:$F$1001,'Costs Log'!$B$2:$B$1001,$A35,'Costs Log'!$C$2:$C$1001,"Materials"))</f>
        <v/>
      </c>
      <c r="H35" s="16" t="str">
        <f aca="false">IF($A35="","",SUMIFS('Costs Log'!$F$2:$F$1001,'Costs Log'!$B$2:$B$1001,$A35,'Costs Log'!$C$2:$C$1001,"Subcontractors"))</f>
        <v/>
      </c>
      <c r="I35" s="16" t="str">
        <f aca="false">IF($A35="","",SUMIFS('Costs Log'!$F$2:$F$1001,'Costs Log'!$B$2:$B$1001,$A35,'Costs Log'!$C$2:$C$1001,"Equipment"))</f>
        <v/>
      </c>
      <c r="J35" s="16" t="str">
        <f aca="false">IF($A35="","",SUMIFS('Costs Log'!$F$2:$F$1001,'Costs Log'!$B$2:$B$1001,$A35,'Costs Log'!$C$2:$C$1001,"Other"))</f>
        <v/>
      </c>
      <c r="K35" s="16" t="str">
        <f aca="false">IF(A35="","",SUM(F35:J35))</f>
        <v/>
      </c>
      <c r="L35" s="17" t="str">
        <f aca="false">IF(OR(A35="",E35=0),"",K35/E35)</f>
        <v/>
      </c>
      <c r="M35" s="16" t="str">
        <f aca="false">IF(A35="","",Jobs!H33-F35)</f>
        <v/>
      </c>
      <c r="N35" s="16" t="str">
        <f aca="false">IF(A35="","",Jobs!I33-G35)</f>
        <v/>
      </c>
      <c r="O35" s="16" t="str">
        <f aca="false">IF(A35="","",SUMIFS('Payments Log'!$E$2:$E$1001,'Payments Log'!$B$2:$B$1001,A35))</f>
        <v/>
      </c>
      <c r="P35" s="16" t="str">
        <f aca="false">IF(A35="","",D35-O35)</f>
        <v/>
      </c>
      <c r="Q35" s="16" t="str">
        <f aca="false">IF(A35="","",O35-K35)</f>
        <v/>
      </c>
      <c r="R35" s="16" t="str">
        <f aca="false">IF(OR(A35="",C35="Bidding"),"",IFERROR(Settings!$B$4*12*D35/SUMIFS($D$4:$D$53,$C$4:$C$53,"&lt;&gt;Bidding"),0))</f>
        <v/>
      </c>
      <c r="S35" s="17" t="str">
        <f aca="false">IF(OR(A35="",D35=0),"",(D35-MAX(E35,K35)-N(R35))/D35)</f>
        <v/>
      </c>
      <c r="T35" s="24" t="str">
        <f aca="false">IF(A35="","",IF(K35&gt;E35,"OVER BUDGET",IF(S35&lt;Settings!$B$5,"Low margin","OK")))</f>
        <v/>
      </c>
    </row>
    <row r="36" customFormat="false" ht="15" hidden="false" customHeight="false" outlineLevel="0" collapsed="false">
      <c r="A36" s="22" t="str">
        <f aca="false">IF(Jobs!A34="","",Jobs!A34)</f>
        <v/>
      </c>
      <c r="B36" s="22" t="str">
        <f aca="false">IF(A36="","",Jobs!B34)</f>
        <v/>
      </c>
      <c r="C36" s="22" t="str">
        <f aca="false">IF(A36="","",Jobs!D34)</f>
        <v/>
      </c>
      <c r="D36" s="23" t="str">
        <f aca="false">IF(A36="","",Jobs!F34+Jobs!G34)</f>
        <v/>
      </c>
      <c r="E36" s="23" t="str">
        <f aca="false">IF(A36="","",Jobs!M34)</f>
        <v/>
      </c>
      <c r="F36" s="16" t="str">
        <f aca="false">IF($A36="","",SUMIFS('Costs Log'!$F$2:$F$1001,'Costs Log'!$B$2:$B$1001,$A36,'Costs Log'!$C$2:$C$1001,"Labor"))</f>
        <v/>
      </c>
      <c r="G36" s="16" t="str">
        <f aca="false">IF($A36="","",SUMIFS('Costs Log'!$F$2:$F$1001,'Costs Log'!$B$2:$B$1001,$A36,'Costs Log'!$C$2:$C$1001,"Materials"))</f>
        <v/>
      </c>
      <c r="H36" s="16" t="str">
        <f aca="false">IF($A36="","",SUMIFS('Costs Log'!$F$2:$F$1001,'Costs Log'!$B$2:$B$1001,$A36,'Costs Log'!$C$2:$C$1001,"Subcontractors"))</f>
        <v/>
      </c>
      <c r="I36" s="16" t="str">
        <f aca="false">IF($A36="","",SUMIFS('Costs Log'!$F$2:$F$1001,'Costs Log'!$B$2:$B$1001,$A36,'Costs Log'!$C$2:$C$1001,"Equipment"))</f>
        <v/>
      </c>
      <c r="J36" s="16" t="str">
        <f aca="false">IF($A36="","",SUMIFS('Costs Log'!$F$2:$F$1001,'Costs Log'!$B$2:$B$1001,$A36,'Costs Log'!$C$2:$C$1001,"Other"))</f>
        <v/>
      </c>
      <c r="K36" s="16" t="str">
        <f aca="false">IF(A36="","",SUM(F36:J36))</f>
        <v/>
      </c>
      <c r="L36" s="17" t="str">
        <f aca="false">IF(OR(A36="",E36=0),"",K36/E36)</f>
        <v/>
      </c>
      <c r="M36" s="16" t="str">
        <f aca="false">IF(A36="","",Jobs!H34-F36)</f>
        <v/>
      </c>
      <c r="N36" s="16" t="str">
        <f aca="false">IF(A36="","",Jobs!I34-G36)</f>
        <v/>
      </c>
      <c r="O36" s="16" t="str">
        <f aca="false">IF(A36="","",SUMIFS('Payments Log'!$E$2:$E$1001,'Payments Log'!$B$2:$B$1001,A36))</f>
        <v/>
      </c>
      <c r="P36" s="16" t="str">
        <f aca="false">IF(A36="","",D36-O36)</f>
        <v/>
      </c>
      <c r="Q36" s="16" t="str">
        <f aca="false">IF(A36="","",O36-K36)</f>
        <v/>
      </c>
      <c r="R36" s="16" t="str">
        <f aca="false">IF(OR(A36="",C36="Bidding"),"",IFERROR(Settings!$B$4*12*D36/SUMIFS($D$4:$D$53,$C$4:$C$53,"&lt;&gt;Bidding"),0))</f>
        <v/>
      </c>
      <c r="S36" s="17" t="str">
        <f aca="false">IF(OR(A36="",D36=0),"",(D36-MAX(E36,K36)-N(R36))/D36)</f>
        <v/>
      </c>
      <c r="T36" s="24" t="str">
        <f aca="false">IF(A36="","",IF(K36&gt;E36,"OVER BUDGET",IF(S36&lt;Settings!$B$5,"Low margin","OK")))</f>
        <v/>
      </c>
    </row>
    <row r="37" customFormat="false" ht="15" hidden="false" customHeight="false" outlineLevel="0" collapsed="false">
      <c r="A37" s="22" t="str">
        <f aca="false">IF(Jobs!A35="","",Jobs!A35)</f>
        <v/>
      </c>
      <c r="B37" s="22" t="str">
        <f aca="false">IF(A37="","",Jobs!B35)</f>
        <v/>
      </c>
      <c r="C37" s="22" t="str">
        <f aca="false">IF(A37="","",Jobs!D35)</f>
        <v/>
      </c>
      <c r="D37" s="23" t="str">
        <f aca="false">IF(A37="","",Jobs!F35+Jobs!G35)</f>
        <v/>
      </c>
      <c r="E37" s="23" t="str">
        <f aca="false">IF(A37="","",Jobs!M35)</f>
        <v/>
      </c>
      <c r="F37" s="16" t="str">
        <f aca="false">IF($A37="","",SUMIFS('Costs Log'!$F$2:$F$1001,'Costs Log'!$B$2:$B$1001,$A37,'Costs Log'!$C$2:$C$1001,"Labor"))</f>
        <v/>
      </c>
      <c r="G37" s="16" t="str">
        <f aca="false">IF($A37="","",SUMIFS('Costs Log'!$F$2:$F$1001,'Costs Log'!$B$2:$B$1001,$A37,'Costs Log'!$C$2:$C$1001,"Materials"))</f>
        <v/>
      </c>
      <c r="H37" s="16" t="str">
        <f aca="false">IF($A37="","",SUMIFS('Costs Log'!$F$2:$F$1001,'Costs Log'!$B$2:$B$1001,$A37,'Costs Log'!$C$2:$C$1001,"Subcontractors"))</f>
        <v/>
      </c>
      <c r="I37" s="16" t="str">
        <f aca="false">IF($A37="","",SUMIFS('Costs Log'!$F$2:$F$1001,'Costs Log'!$B$2:$B$1001,$A37,'Costs Log'!$C$2:$C$1001,"Equipment"))</f>
        <v/>
      </c>
      <c r="J37" s="16" t="str">
        <f aca="false">IF($A37="","",SUMIFS('Costs Log'!$F$2:$F$1001,'Costs Log'!$B$2:$B$1001,$A37,'Costs Log'!$C$2:$C$1001,"Other"))</f>
        <v/>
      </c>
      <c r="K37" s="16" t="str">
        <f aca="false">IF(A37="","",SUM(F37:J37))</f>
        <v/>
      </c>
      <c r="L37" s="17" t="str">
        <f aca="false">IF(OR(A37="",E37=0),"",K37/E37)</f>
        <v/>
      </c>
      <c r="M37" s="16" t="str">
        <f aca="false">IF(A37="","",Jobs!H35-F37)</f>
        <v/>
      </c>
      <c r="N37" s="16" t="str">
        <f aca="false">IF(A37="","",Jobs!I35-G37)</f>
        <v/>
      </c>
      <c r="O37" s="16" t="str">
        <f aca="false">IF(A37="","",SUMIFS('Payments Log'!$E$2:$E$1001,'Payments Log'!$B$2:$B$1001,A37))</f>
        <v/>
      </c>
      <c r="P37" s="16" t="str">
        <f aca="false">IF(A37="","",D37-O37)</f>
        <v/>
      </c>
      <c r="Q37" s="16" t="str">
        <f aca="false">IF(A37="","",O37-K37)</f>
        <v/>
      </c>
      <c r="R37" s="16" t="str">
        <f aca="false">IF(OR(A37="",C37="Bidding"),"",IFERROR(Settings!$B$4*12*D37/SUMIFS($D$4:$D$53,$C$4:$C$53,"&lt;&gt;Bidding"),0))</f>
        <v/>
      </c>
      <c r="S37" s="17" t="str">
        <f aca="false">IF(OR(A37="",D37=0),"",(D37-MAX(E37,K37)-N(R37))/D37)</f>
        <v/>
      </c>
      <c r="T37" s="24" t="str">
        <f aca="false">IF(A37="","",IF(K37&gt;E37,"OVER BUDGET",IF(S37&lt;Settings!$B$5,"Low margin","OK")))</f>
        <v/>
      </c>
    </row>
    <row r="38" customFormat="false" ht="15" hidden="false" customHeight="false" outlineLevel="0" collapsed="false">
      <c r="A38" s="22" t="str">
        <f aca="false">IF(Jobs!A36="","",Jobs!A36)</f>
        <v/>
      </c>
      <c r="B38" s="22" t="str">
        <f aca="false">IF(A38="","",Jobs!B36)</f>
        <v/>
      </c>
      <c r="C38" s="22" t="str">
        <f aca="false">IF(A38="","",Jobs!D36)</f>
        <v/>
      </c>
      <c r="D38" s="23" t="str">
        <f aca="false">IF(A38="","",Jobs!F36+Jobs!G36)</f>
        <v/>
      </c>
      <c r="E38" s="23" t="str">
        <f aca="false">IF(A38="","",Jobs!M36)</f>
        <v/>
      </c>
      <c r="F38" s="16" t="str">
        <f aca="false">IF($A38="","",SUMIFS('Costs Log'!$F$2:$F$1001,'Costs Log'!$B$2:$B$1001,$A38,'Costs Log'!$C$2:$C$1001,"Labor"))</f>
        <v/>
      </c>
      <c r="G38" s="16" t="str">
        <f aca="false">IF($A38="","",SUMIFS('Costs Log'!$F$2:$F$1001,'Costs Log'!$B$2:$B$1001,$A38,'Costs Log'!$C$2:$C$1001,"Materials"))</f>
        <v/>
      </c>
      <c r="H38" s="16" t="str">
        <f aca="false">IF($A38="","",SUMIFS('Costs Log'!$F$2:$F$1001,'Costs Log'!$B$2:$B$1001,$A38,'Costs Log'!$C$2:$C$1001,"Subcontractors"))</f>
        <v/>
      </c>
      <c r="I38" s="16" t="str">
        <f aca="false">IF($A38="","",SUMIFS('Costs Log'!$F$2:$F$1001,'Costs Log'!$B$2:$B$1001,$A38,'Costs Log'!$C$2:$C$1001,"Equipment"))</f>
        <v/>
      </c>
      <c r="J38" s="16" t="str">
        <f aca="false">IF($A38="","",SUMIFS('Costs Log'!$F$2:$F$1001,'Costs Log'!$B$2:$B$1001,$A38,'Costs Log'!$C$2:$C$1001,"Other"))</f>
        <v/>
      </c>
      <c r="K38" s="16" t="str">
        <f aca="false">IF(A38="","",SUM(F38:J38))</f>
        <v/>
      </c>
      <c r="L38" s="17" t="str">
        <f aca="false">IF(OR(A38="",E38=0),"",K38/E38)</f>
        <v/>
      </c>
      <c r="M38" s="16" t="str">
        <f aca="false">IF(A38="","",Jobs!H36-F38)</f>
        <v/>
      </c>
      <c r="N38" s="16" t="str">
        <f aca="false">IF(A38="","",Jobs!I36-G38)</f>
        <v/>
      </c>
      <c r="O38" s="16" t="str">
        <f aca="false">IF(A38="","",SUMIFS('Payments Log'!$E$2:$E$1001,'Payments Log'!$B$2:$B$1001,A38))</f>
        <v/>
      </c>
      <c r="P38" s="16" t="str">
        <f aca="false">IF(A38="","",D38-O38)</f>
        <v/>
      </c>
      <c r="Q38" s="16" t="str">
        <f aca="false">IF(A38="","",O38-K38)</f>
        <v/>
      </c>
      <c r="R38" s="16" t="str">
        <f aca="false">IF(OR(A38="",C38="Bidding"),"",IFERROR(Settings!$B$4*12*D38/SUMIFS($D$4:$D$53,$C$4:$C$53,"&lt;&gt;Bidding"),0))</f>
        <v/>
      </c>
      <c r="S38" s="17" t="str">
        <f aca="false">IF(OR(A38="",D38=0),"",(D38-MAX(E38,K38)-N(R38))/D38)</f>
        <v/>
      </c>
      <c r="T38" s="24" t="str">
        <f aca="false">IF(A38="","",IF(K38&gt;E38,"OVER BUDGET",IF(S38&lt;Settings!$B$5,"Low margin","OK")))</f>
        <v/>
      </c>
    </row>
    <row r="39" customFormat="false" ht="15" hidden="false" customHeight="false" outlineLevel="0" collapsed="false">
      <c r="A39" s="22" t="str">
        <f aca="false">IF(Jobs!A37="","",Jobs!A37)</f>
        <v/>
      </c>
      <c r="B39" s="22" t="str">
        <f aca="false">IF(A39="","",Jobs!B37)</f>
        <v/>
      </c>
      <c r="C39" s="22" t="str">
        <f aca="false">IF(A39="","",Jobs!D37)</f>
        <v/>
      </c>
      <c r="D39" s="23" t="str">
        <f aca="false">IF(A39="","",Jobs!F37+Jobs!G37)</f>
        <v/>
      </c>
      <c r="E39" s="23" t="str">
        <f aca="false">IF(A39="","",Jobs!M37)</f>
        <v/>
      </c>
      <c r="F39" s="16" t="str">
        <f aca="false">IF($A39="","",SUMIFS('Costs Log'!$F$2:$F$1001,'Costs Log'!$B$2:$B$1001,$A39,'Costs Log'!$C$2:$C$1001,"Labor"))</f>
        <v/>
      </c>
      <c r="G39" s="16" t="str">
        <f aca="false">IF($A39="","",SUMIFS('Costs Log'!$F$2:$F$1001,'Costs Log'!$B$2:$B$1001,$A39,'Costs Log'!$C$2:$C$1001,"Materials"))</f>
        <v/>
      </c>
      <c r="H39" s="16" t="str">
        <f aca="false">IF($A39="","",SUMIFS('Costs Log'!$F$2:$F$1001,'Costs Log'!$B$2:$B$1001,$A39,'Costs Log'!$C$2:$C$1001,"Subcontractors"))</f>
        <v/>
      </c>
      <c r="I39" s="16" t="str">
        <f aca="false">IF($A39="","",SUMIFS('Costs Log'!$F$2:$F$1001,'Costs Log'!$B$2:$B$1001,$A39,'Costs Log'!$C$2:$C$1001,"Equipment"))</f>
        <v/>
      </c>
      <c r="J39" s="16" t="str">
        <f aca="false">IF($A39="","",SUMIFS('Costs Log'!$F$2:$F$1001,'Costs Log'!$B$2:$B$1001,$A39,'Costs Log'!$C$2:$C$1001,"Other"))</f>
        <v/>
      </c>
      <c r="K39" s="16" t="str">
        <f aca="false">IF(A39="","",SUM(F39:J39))</f>
        <v/>
      </c>
      <c r="L39" s="17" t="str">
        <f aca="false">IF(OR(A39="",E39=0),"",K39/E39)</f>
        <v/>
      </c>
      <c r="M39" s="16" t="str">
        <f aca="false">IF(A39="","",Jobs!H37-F39)</f>
        <v/>
      </c>
      <c r="N39" s="16" t="str">
        <f aca="false">IF(A39="","",Jobs!I37-G39)</f>
        <v/>
      </c>
      <c r="O39" s="16" t="str">
        <f aca="false">IF(A39="","",SUMIFS('Payments Log'!$E$2:$E$1001,'Payments Log'!$B$2:$B$1001,A39))</f>
        <v/>
      </c>
      <c r="P39" s="16" t="str">
        <f aca="false">IF(A39="","",D39-O39)</f>
        <v/>
      </c>
      <c r="Q39" s="16" t="str">
        <f aca="false">IF(A39="","",O39-K39)</f>
        <v/>
      </c>
      <c r="R39" s="16" t="str">
        <f aca="false">IF(OR(A39="",C39="Bidding"),"",IFERROR(Settings!$B$4*12*D39/SUMIFS($D$4:$D$53,$C$4:$C$53,"&lt;&gt;Bidding"),0))</f>
        <v/>
      </c>
      <c r="S39" s="17" t="str">
        <f aca="false">IF(OR(A39="",D39=0),"",(D39-MAX(E39,K39)-N(R39))/D39)</f>
        <v/>
      </c>
      <c r="T39" s="24" t="str">
        <f aca="false">IF(A39="","",IF(K39&gt;E39,"OVER BUDGET",IF(S39&lt;Settings!$B$5,"Low margin","OK")))</f>
        <v/>
      </c>
    </row>
    <row r="40" customFormat="false" ht="15" hidden="false" customHeight="false" outlineLevel="0" collapsed="false">
      <c r="A40" s="22" t="str">
        <f aca="false">IF(Jobs!A38="","",Jobs!A38)</f>
        <v/>
      </c>
      <c r="B40" s="22" t="str">
        <f aca="false">IF(A40="","",Jobs!B38)</f>
        <v/>
      </c>
      <c r="C40" s="22" t="str">
        <f aca="false">IF(A40="","",Jobs!D38)</f>
        <v/>
      </c>
      <c r="D40" s="23" t="str">
        <f aca="false">IF(A40="","",Jobs!F38+Jobs!G38)</f>
        <v/>
      </c>
      <c r="E40" s="23" t="str">
        <f aca="false">IF(A40="","",Jobs!M38)</f>
        <v/>
      </c>
      <c r="F40" s="16" t="str">
        <f aca="false">IF($A40="","",SUMIFS('Costs Log'!$F$2:$F$1001,'Costs Log'!$B$2:$B$1001,$A40,'Costs Log'!$C$2:$C$1001,"Labor"))</f>
        <v/>
      </c>
      <c r="G40" s="16" t="str">
        <f aca="false">IF($A40="","",SUMIFS('Costs Log'!$F$2:$F$1001,'Costs Log'!$B$2:$B$1001,$A40,'Costs Log'!$C$2:$C$1001,"Materials"))</f>
        <v/>
      </c>
      <c r="H40" s="16" t="str">
        <f aca="false">IF($A40="","",SUMIFS('Costs Log'!$F$2:$F$1001,'Costs Log'!$B$2:$B$1001,$A40,'Costs Log'!$C$2:$C$1001,"Subcontractors"))</f>
        <v/>
      </c>
      <c r="I40" s="16" t="str">
        <f aca="false">IF($A40="","",SUMIFS('Costs Log'!$F$2:$F$1001,'Costs Log'!$B$2:$B$1001,$A40,'Costs Log'!$C$2:$C$1001,"Equipment"))</f>
        <v/>
      </c>
      <c r="J40" s="16" t="str">
        <f aca="false">IF($A40="","",SUMIFS('Costs Log'!$F$2:$F$1001,'Costs Log'!$B$2:$B$1001,$A40,'Costs Log'!$C$2:$C$1001,"Other"))</f>
        <v/>
      </c>
      <c r="K40" s="16" t="str">
        <f aca="false">IF(A40="","",SUM(F40:J40))</f>
        <v/>
      </c>
      <c r="L40" s="17" t="str">
        <f aca="false">IF(OR(A40="",E40=0),"",K40/E40)</f>
        <v/>
      </c>
      <c r="M40" s="16" t="str">
        <f aca="false">IF(A40="","",Jobs!H38-F40)</f>
        <v/>
      </c>
      <c r="N40" s="16" t="str">
        <f aca="false">IF(A40="","",Jobs!I38-G40)</f>
        <v/>
      </c>
      <c r="O40" s="16" t="str">
        <f aca="false">IF(A40="","",SUMIFS('Payments Log'!$E$2:$E$1001,'Payments Log'!$B$2:$B$1001,A40))</f>
        <v/>
      </c>
      <c r="P40" s="16" t="str">
        <f aca="false">IF(A40="","",D40-O40)</f>
        <v/>
      </c>
      <c r="Q40" s="16" t="str">
        <f aca="false">IF(A40="","",O40-K40)</f>
        <v/>
      </c>
      <c r="R40" s="16" t="str">
        <f aca="false">IF(OR(A40="",C40="Bidding"),"",IFERROR(Settings!$B$4*12*D40/SUMIFS($D$4:$D$53,$C$4:$C$53,"&lt;&gt;Bidding"),0))</f>
        <v/>
      </c>
      <c r="S40" s="17" t="str">
        <f aca="false">IF(OR(A40="",D40=0),"",(D40-MAX(E40,K40)-N(R40))/D40)</f>
        <v/>
      </c>
      <c r="T40" s="24" t="str">
        <f aca="false">IF(A40="","",IF(K40&gt;E40,"OVER BUDGET",IF(S40&lt;Settings!$B$5,"Low margin","OK")))</f>
        <v/>
      </c>
    </row>
    <row r="41" customFormat="false" ht="15" hidden="false" customHeight="false" outlineLevel="0" collapsed="false">
      <c r="A41" s="22" t="str">
        <f aca="false">IF(Jobs!A39="","",Jobs!A39)</f>
        <v/>
      </c>
      <c r="B41" s="22" t="str">
        <f aca="false">IF(A41="","",Jobs!B39)</f>
        <v/>
      </c>
      <c r="C41" s="22" t="str">
        <f aca="false">IF(A41="","",Jobs!D39)</f>
        <v/>
      </c>
      <c r="D41" s="23" t="str">
        <f aca="false">IF(A41="","",Jobs!F39+Jobs!G39)</f>
        <v/>
      </c>
      <c r="E41" s="23" t="str">
        <f aca="false">IF(A41="","",Jobs!M39)</f>
        <v/>
      </c>
      <c r="F41" s="16" t="str">
        <f aca="false">IF($A41="","",SUMIFS('Costs Log'!$F$2:$F$1001,'Costs Log'!$B$2:$B$1001,$A41,'Costs Log'!$C$2:$C$1001,"Labor"))</f>
        <v/>
      </c>
      <c r="G41" s="16" t="str">
        <f aca="false">IF($A41="","",SUMIFS('Costs Log'!$F$2:$F$1001,'Costs Log'!$B$2:$B$1001,$A41,'Costs Log'!$C$2:$C$1001,"Materials"))</f>
        <v/>
      </c>
      <c r="H41" s="16" t="str">
        <f aca="false">IF($A41="","",SUMIFS('Costs Log'!$F$2:$F$1001,'Costs Log'!$B$2:$B$1001,$A41,'Costs Log'!$C$2:$C$1001,"Subcontractors"))</f>
        <v/>
      </c>
      <c r="I41" s="16" t="str">
        <f aca="false">IF($A41="","",SUMIFS('Costs Log'!$F$2:$F$1001,'Costs Log'!$B$2:$B$1001,$A41,'Costs Log'!$C$2:$C$1001,"Equipment"))</f>
        <v/>
      </c>
      <c r="J41" s="16" t="str">
        <f aca="false">IF($A41="","",SUMIFS('Costs Log'!$F$2:$F$1001,'Costs Log'!$B$2:$B$1001,$A41,'Costs Log'!$C$2:$C$1001,"Other"))</f>
        <v/>
      </c>
      <c r="K41" s="16" t="str">
        <f aca="false">IF(A41="","",SUM(F41:J41))</f>
        <v/>
      </c>
      <c r="L41" s="17" t="str">
        <f aca="false">IF(OR(A41="",E41=0),"",K41/E41)</f>
        <v/>
      </c>
      <c r="M41" s="16" t="str">
        <f aca="false">IF(A41="","",Jobs!H39-F41)</f>
        <v/>
      </c>
      <c r="N41" s="16" t="str">
        <f aca="false">IF(A41="","",Jobs!I39-G41)</f>
        <v/>
      </c>
      <c r="O41" s="16" t="str">
        <f aca="false">IF(A41="","",SUMIFS('Payments Log'!$E$2:$E$1001,'Payments Log'!$B$2:$B$1001,A41))</f>
        <v/>
      </c>
      <c r="P41" s="16" t="str">
        <f aca="false">IF(A41="","",D41-O41)</f>
        <v/>
      </c>
      <c r="Q41" s="16" t="str">
        <f aca="false">IF(A41="","",O41-K41)</f>
        <v/>
      </c>
      <c r="R41" s="16" t="str">
        <f aca="false">IF(OR(A41="",C41="Bidding"),"",IFERROR(Settings!$B$4*12*D41/SUMIFS($D$4:$D$53,$C$4:$C$53,"&lt;&gt;Bidding"),0))</f>
        <v/>
      </c>
      <c r="S41" s="17" t="str">
        <f aca="false">IF(OR(A41="",D41=0),"",(D41-MAX(E41,K41)-N(R41))/D41)</f>
        <v/>
      </c>
      <c r="T41" s="24" t="str">
        <f aca="false">IF(A41="","",IF(K41&gt;E41,"OVER BUDGET",IF(S41&lt;Settings!$B$5,"Low margin","OK")))</f>
        <v/>
      </c>
    </row>
    <row r="42" customFormat="false" ht="15" hidden="false" customHeight="false" outlineLevel="0" collapsed="false">
      <c r="A42" s="22" t="str">
        <f aca="false">IF(Jobs!A40="","",Jobs!A40)</f>
        <v/>
      </c>
      <c r="B42" s="22" t="str">
        <f aca="false">IF(A42="","",Jobs!B40)</f>
        <v/>
      </c>
      <c r="C42" s="22" t="str">
        <f aca="false">IF(A42="","",Jobs!D40)</f>
        <v/>
      </c>
      <c r="D42" s="23" t="str">
        <f aca="false">IF(A42="","",Jobs!F40+Jobs!G40)</f>
        <v/>
      </c>
      <c r="E42" s="23" t="str">
        <f aca="false">IF(A42="","",Jobs!M40)</f>
        <v/>
      </c>
      <c r="F42" s="16" t="str">
        <f aca="false">IF($A42="","",SUMIFS('Costs Log'!$F$2:$F$1001,'Costs Log'!$B$2:$B$1001,$A42,'Costs Log'!$C$2:$C$1001,"Labor"))</f>
        <v/>
      </c>
      <c r="G42" s="16" t="str">
        <f aca="false">IF($A42="","",SUMIFS('Costs Log'!$F$2:$F$1001,'Costs Log'!$B$2:$B$1001,$A42,'Costs Log'!$C$2:$C$1001,"Materials"))</f>
        <v/>
      </c>
      <c r="H42" s="16" t="str">
        <f aca="false">IF($A42="","",SUMIFS('Costs Log'!$F$2:$F$1001,'Costs Log'!$B$2:$B$1001,$A42,'Costs Log'!$C$2:$C$1001,"Subcontractors"))</f>
        <v/>
      </c>
      <c r="I42" s="16" t="str">
        <f aca="false">IF($A42="","",SUMIFS('Costs Log'!$F$2:$F$1001,'Costs Log'!$B$2:$B$1001,$A42,'Costs Log'!$C$2:$C$1001,"Equipment"))</f>
        <v/>
      </c>
      <c r="J42" s="16" t="str">
        <f aca="false">IF($A42="","",SUMIFS('Costs Log'!$F$2:$F$1001,'Costs Log'!$B$2:$B$1001,$A42,'Costs Log'!$C$2:$C$1001,"Other"))</f>
        <v/>
      </c>
      <c r="K42" s="16" t="str">
        <f aca="false">IF(A42="","",SUM(F42:J42))</f>
        <v/>
      </c>
      <c r="L42" s="17" t="str">
        <f aca="false">IF(OR(A42="",E42=0),"",K42/E42)</f>
        <v/>
      </c>
      <c r="M42" s="16" t="str">
        <f aca="false">IF(A42="","",Jobs!H40-F42)</f>
        <v/>
      </c>
      <c r="N42" s="16" t="str">
        <f aca="false">IF(A42="","",Jobs!I40-G42)</f>
        <v/>
      </c>
      <c r="O42" s="16" t="str">
        <f aca="false">IF(A42="","",SUMIFS('Payments Log'!$E$2:$E$1001,'Payments Log'!$B$2:$B$1001,A42))</f>
        <v/>
      </c>
      <c r="P42" s="16" t="str">
        <f aca="false">IF(A42="","",D42-O42)</f>
        <v/>
      </c>
      <c r="Q42" s="16" t="str">
        <f aca="false">IF(A42="","",O42-K42)</f>
        <v/>
      </c>
      <c r="R42" s="16" t="str">
        <f aca="false">IF(OR(A42="",C42="Bidding"),"",IFERROR(Settings!$B$4*12*D42/SUMIFS($D$4:$D$53,$C$4:$C$53,"&lt;&gt;Bidding"),0))</f>
        <v/>
      </c>
      <c r="S42" s="17" t="str">
        <f aca="false">IF(OR(A42="",D42=0),"",(D42-MAX(E42,K42)-N(R42))/D42)</f>
        <v/>
      </c>
      <c r="T42" s="24" t="str">
        <f aca="false">IF(A42="","",IF(K42&gt;E42,"OVER BUDGET",IF(S42&lt;Settings!$B$5,"Low margin","OK")))</f>
        <v/>
      </c>
    </row>
    <row r="43" customFormat="false" ht="15" hidden="false" customHeight="false" outlineLevel="0" collapsed="false">
      <c r="A43" s="22" t="str">
        <f aca="false">IF(Jobs!A41="","",Jobs!A41)</f>
        <v/>
      </c>
      <c r="B43" s="22" t="str">
        <f aca="false">IF(A43="","",Jobs!B41)</f>
        <v/>
      </c>
      <c r="C43" s="22" t="str">
        <f aca="false">IF(A43="","",Jobs!D41)</f>
        <v/>
      </c>
      <c r="D43" s="23" t="str">
        <f aca="false">IF(A43="","",Jobs!F41+Jobs!G41)</f>
        <v/>
      </c>
      <c r="E43" s="23" t="str">
        <f aca="false">IF(A43="","",Jobs!M41)</f>
        <v/>
      </c>
      <c r="F43" s="16" t="str">
        <f aca="false">IF($A43="","",SUMIFS('Costs Log'!$F$2:$F$1001,'Costs Log'!$B$2:$B$1001,$A43,'Costs Log'!$C$2:$C$1001,"Labor"))</f>
        <v/>
      </c>
      <c r="G43" s="16" t="str">
        <f aca="false">IF($A43="","",SUMIFS('Costs Log'!$F$2:$F$1001,'Costs Log'!$B$2:$B$1001,$A43,'Costs Log'!$C$2:$C$1001,"Materials"))</f>
        <v/>
      </c>
      <c r="H43" s="16" t="str">
        <f aca="false">IF($A43="","",SUMIFS('Costs Log'!$F$2:$F$1001,'Costs Log'!$B$2:$B$1001,$A43,'Costs Log'!$C$2:$C$1001,"Subcontractors"))</f>
        <v/>
      </c>
      <c r="I43" s="16" t="str">
        <f aca="false">IF($A43="","",SUMIFS('Costs Log'!$F$2:$F$1001,'Costs Log'!$B$2:$B$1001,$A43,'Costs Log'!$C$2:$C$1001,"Equipment"))</f>
        <v/>
      </c>
      <c r="J43" s="16" t="str">
        <f aca="false">IF($A43="","",SUMIFS('Costs Log'!$F$2:$F$1001,'Costs Log'!$B$2:$B$1001,$A43,'Costs Log'!$C$2:$C$1001,"Other"))</f>
        <v/>
      </c>
      <c r="K43" s="16" t="str">
        <f aca="false">IF(A43="","",SUM(F43:J43))</f>
        <v/>
      </c>
      <c r="L43" s="17" t="str">
        <f aca="false">IF(OR(A43="",E43=0),"",K43/E43)</f>
        <v/>
      </c>
      <c r="M43" s="16" t="str">
        <f aca="false">IF(A43="","",Jobs!H41-F43)</f>
        <v/>
      </c>
      <c r="N43" s="16" t="str">
        <f aca="false">IF(A43="","",Jobs!I41-G43)</f>
        <v/>
      </c>
      <c r="O43" s="16" t="str">
        <f aca="false">IF(A43="","",SUMIFS('Payments Log'!$E$2:$E$1001,'Payments Log'!$B$2:$B$1001,A43))</f>
        <v/>
      </c>
      <c r="P43" s="16" t="str">
        <f aca="false">IF(A43="","",D43-O43)</f>
        <v/>
      </c>
      <c r="Q43" s="16" t="str">
        <f aca="false">IF(A43="","",O43-K43)</f>
        <v/>
      </c>
      <c r="R43" s="16" t="str">
        <f aca="false">IF(OR(A43="",C43="Bidding"),"",IFERROR(Settings!$B$4*12*D43/SUMIFS($D$4:$D$53,$C$4:$C$53,"&lt;&gt;Bidding"),0))</f>
        <v/>
      </c>
      <c r="S43" s="17" t="str">
        <f aca="false">IF(OR(A43="",D43=0),"",(D43-MAX(E43,K43)-N(R43))/D43)</f>
        <v/>
      </c>
      <c r="T43" s="24" t="str">
        <f aca="false">IF(A43="","",IF(K43&gt;E43,"OVER BUDGET",IF(S43&lt;Settings!$B$5,"Low margin","OK")))</f>
        <v/>
      </c>
    </row>
    <row r="44" customFormat="false" ht="15" hidden="false" customHeight="false" outlineLevel="0" collapsed="false">
      <c r="A44" s="22" t="str">
        <f aca="false">IF(Jobs!A42="","",Jobs!A42)</f>
        <v/>
      </c>
      <c r="B44" s="22" t="str">
        <f aca="false">IF(A44="","",Jobs!B42)</f>
        <v/>
      </c>
      <c r="C44" s="22" t="str">
        <f aca="false">IF(A44="","",Jobs!D42)</f>
        <v/>
      </c>
      <c r="D44" s="23" t="str">
        <f aca="false">IF(A44="","",Jobs!F42+Jobs!G42)</f>
        <v/>
      </c>
      <c r="E44" s="23" t="str">
        <f aca="false">IF(A44="","",Jobs!M42)</f>
        <v/>
      </c>
      <c r="F44" s="16" t="str">
        <f aca="false">IF($A44="","",SUMIFS('Costs Log'!$F$2:$F$1001,'Costs Log'!$B$2:$B$1001,$A44,'Costs Log'!$C$2:$C$1001,"Labor"))</f>
        <v/>
      </c>
      <c r="G44" s="16" t="str">
        <f aca="false">IF($A44="","",SUMIFS('Costs Log'!$F$2:$F$1001,'Costs Log'!$B$2:$B$1001,$A44,'Costs Log'!$C$2:$C$1001,"Materials"))</f>
        <v/>
      </c>
      <c r="H44" s="16" t="str">
        <f aca="false">IF($A44="","",SUMIFS('Costs Log'!$F$2:$F$1001,'Costs Log'!$B$2:$B$1001,$A44,'Costs Log'!$C$2:$C$1001,"Subcontractors"))</f>
        <v/>
      </c>
      <c r="I44" s="16" t="str">
        <f aca="false">IF($A44="","",SUMIFS('Costs Log'!$F$2:$F$1001,'Costs Log'!$B$2:$B$1001,$A44,'Costs Log'!$C$2:$C$1001,"Equipment"))</f>
        <v/>
      </c>
      <c r="J44" s="16" t="str">
        <f aca="false">IF($A44="","",SUMIFS('Costs Log'!$F$2:$F$1001,'Costs Log'!$B$2:$B$1001,$A44,'Costs Log'!$C$2:$C$1001,"Other"))</f>
        <v/>
      </c>
      <c r="K44" s="16" t="str">
        <f aca="false">IF(A44="","",SUM(F44:J44))</f>
        <v/>
      </c>
      <c r="L44" s="17" t="str">
        <f aca="false">IF(OR(A44="",E44=0),"",K44/E44)</f>
        <v/>
      </c>
      <c r="M44" s="16" t="str">
        <f aca="false">IF(A44="","",Jobs!H42-F44)</f>
        <v/>
      </c>
      <c r="N44" s="16" t="str">
        <f aca="false">IF(A44="","",Jobs!I42-G44)</f>
        <v/>
      </c>
      <c r="O44" s="16" t="str">
        <f aca="false">IF(A44="","",SUMIFS('Payments Log'!$E$2:$E$1001,'Payments Log'!$B$2:$B$1001,A44))</f>
        <v/>
      </c>
      <c r="P44" s="16" t="str">
        <f aca="false">IF(A44="","",D44-O44)</f>
        <v/>
      </c>
      <c r="Q44" s="16" t="str">
        <f aca="false">IF(A44="","",O44-K44)</f>
        <v/>
      </c>
      <c r="R44" s="16" t="str">
        <f aca="false">IF(OR(A44="",C44="Bidding"),"",IFERROR(Settings!$B$4*12*D44/SUMIFS($D$4:$D$53,$C$4:$C$53,"&lt;&gt;Bidding"),0))</f>
        <v/>
      </c>
      <c r="S44" s="17" t="str">
        <f aca="false">IF(OR(A44="",D44=0),"",(D44-MAX(E44,K44)-N(R44))/D44)</f>
        <v/>
      </c>
      <c r="T44" s="24" t="str">
        <f aca="false">IF(A44="","",IF(K44&gt;E44,"OVER BUDGET",IF(S44&lt;Settings!$B$5,"Low margin","OK")))</f>
        <v/>
      </c>
    </row>
    <row r="45" customFormat="false" ht="15" hidden="false" customHeight="false" outlineLevel="0" collapsed="false">
      <c r="A45" s="22" t="str">
        <f aca="false">IF(Jobs!A43="","",Jobs!A43)</f>
        <v/>
      </c>
      <c r="B45" s="22" t="str">
        <f aca="false">IF(A45="","",Jobs!B43)</f>
        <v/>
      </c>
      <c r="C45" s="22" t="str">
        <f aca="false">IF(A45="","",Jobs!D43)</f>
        <v/>
      </c>
      <c r="D45" s="23" t="str">
        <f aca="false">IF(A45="","",Jobs!F43+Jobs!G43)</f>
        <v/>
      </c>
      <c r="E45" s="23" t="str">
        <f aca="false">IF(A45="","",Jobs!M43)</f>
        <v/>
      </c>
      <c r="F45" s="16" t="str">
        <f aca="false">IF($A45="","",SUMIFS('Costs Log'!$F$2:$F$1001,'Costs Log'!$B$2:$B$1001,$A45,'Costs Log'!$C$2:$C$1001,"Labor"))</f>
        <v/>
      </c>
      <c r="G45" s="16" t="str">
        <f aca="false">IF($A45="","",SUMIFS('Costs Log'!$F$2:$F$1001,'Costs Log'!$B$2:$B$1001,$A45,'Costs Log'!$C$2:$C$1001,"Materials"))</f>
        <v/>
      </c>
      <c r="H45" s="16" t="str">
        <f aca="false">IF($A45="","",SUMIFS('Costs Log'!$F$2:$F$1001,'Costs Log'!$B$2:$B$1001,$A45,'Costs Log'!$C$2:$C$1001,"Subcontractors"))</f>
        <v/>
      </c>
      <c r="I45" s="16" t="str">
        <f aca="false">IF($A45="","",SUMIFS('Costs Log'!$F$2:$F$1001,'Costs Log'!$B$2:$B$1001,$A45,'Costs Log'!$C$2:$C$1001,"Equipment"))</f>
        <v/>
      </c>
      <c r="J45" s="16" t="str">
        <f aca="false">IF($A45="","",SUMIFS('Costs Log'!$F$2:$F$1001,'Costs Log'!$B$2:$B$1001,$A45,'Costs Log'!$C$2:$C$1001,"Other"))</f>
        <v/>
      </c>
      <c r="K45" s="16" t="str">
        <f aca="false">IF(A45="","",SUM(F45:J45))</f>
        <v/>
      </c>
      <c r="L45" s="17" t="str">
        <f aca="false">IF(OR(A45="",E45=0),"",K45/E45)</f>
        <v/>
      </c>
      <c r="M45" s="16" t="str">
        <f aca="false">IF(A45="","",Jobs!H43-F45)</f>
        <v/>
      </c>
      <c r="N45" s="16" t="str">
        <f aca="false">IF(A45="","",Jobs!I43-G45)</f>
        <v/>
      </c>
      <c r="O45" s="16" t="str">
        <f aca="false">IF(A45="","",SUMIFS('Payments Log'!$E$2:$E$1001,'Payments Log'!$B$2:$B$1001,A45))</f>
        <v/>
      </c>
      <c r="P45" s="16" t="str">
        <f aca="false">IF(A45="","",D45-O45)</f>
        <v/>
      </c>
      <c r="Q45" s="16" t="str">
        <f aca="false">IF(A45="","",O45-K45)</f>
        <v/>
      </c>
      <c r="R45" s="16" t="str">
        <f aca="false">IF(OR(A45="",C45="Bidding"),"",IFERROR(Settings!$B$4*12*D45/SUMIFS($D$4:$D$53,$C$4:$C$53,"&lt;&gt;Bidding"),0))</f>
        <v/>
      </c>
      <c r="S45" s="17" t="str">
        <f aca="false">IF(OR(A45="",D45=0),"",(D45-MAX(E45,K45)-N(R45))/D45)</f>
        <v/>
      </c>
      <c r="T45" s="24" t="str">
        <f aca="false">IF(A45="","",IF(K45&gt;E45,"OVER BUDGET",IF(S45&lt;Settings!$B$5,"Low margin","OK")))</f>
        <v/>
      </c>
    </row>
    <row r="46" customFormat="false" ht="15" hidden="false" customHeight="false" outlineLevel="0" collapsed="false">
      <c r="A46" s="22" t="str">
        <f aca="false">IF(Jobs!A44="","",Jobs!A44)</f>
        <v/>
      </c>
      <c r="B46" s="22" t="str">
        <f aca="false">IF(A46="","",Jobs!B44)</f>
        <v/>
      </c>
      <c r="C46" s="22" t="str">
        <f aca="false">IF(A46="","",Jobs!D44)</f>
        <v/>
      </c>
      <c r="D46" s="23" t="str">
        <f aca="false">IF(A46="","",Jobs!F44+Jobs!G44)</f>
        <v/>
      </c>
      <c r="E46" s="23" t="str">
        <f aca="false">IF(A46="","",Jobs!M44)</f>
        <v/>
      </c>
      <c r="F46" s="16" t="str">
        <f aca="false">IF($A46="","",SUMIFS('Costs Log'!$F$2:$F$1001,'Costs Log'!$B$2:$B$1001,$A46,'Costs Log'!$C$2:$C$1001,"Labor"))</f>
        <v/>
      </c>
      <c r="G46" s="16" t="str">
        <f aca="false">IF($A46="","",SUMIFS('Costs Log'!$F$2:$F$1001,'Costs Log'!$B$2:$B$1001,$A46,'Costs Log'!$C$2:$C$1001,"Materials"))</f>
        <v/>
      </c>
      <c r="H46" s="16" t="str">
        <f aca="false">IF($A46="","",SUMIFS('Costs Log'!$F$2:$F$1001,'Costs Log'!$B$2:$B$1001,$A46,'Costs Log'!$C$2:$C$1001,"Subcontractors"))</f>
        <v/>
      </c>
      <c r="I46" s="16" t="str">
        <f aca="false">IF($A46="","",SUMIFS('Costs Log'!$F$2:$F$1001,'Costs Log'!$B$2:$B$1001,$A46,'Costs Log'!$C$2:$C$1001,"Equipment"))</f>
        <v/>
      </c>
      <c r="J46" s="16" t="str">
        <f aca="false">IF($A46="","",SUMIFS('Costs Log'!$F$2:$F$1001,'Costs Log'!$B$2:$B$1001,$A46,'Costs Log'!$C$2:$C$1001,"Other"))</f>
        <v/>
      </c>
      <c r="K46" s="16" t="str">
        <f aca="false">IF(A46="","",SUM(F46:J46))</f>
        <v/>
      </c>
      <c r="L46" s="17" t="str">
        <f aca="false">IF(OR(A46="",E46=0),"",K46/E46)</f>
        <v/>
      </c>
      <c r="M46" s="16" t="str">
        <f aca="false">IF(A46="","",Jobs!H44-F46)</f>
        <v/>
      </c>
      <c r="N46" s="16" t="str">
        <f aca="false">IF(A46="","",Jobs!I44-G46)</f>
        <v/>
      </c>
      <c r="O46" s="16" t="str">
        <f aca="false">IF(A46="","",SUMIFS('Payments Log'!$E$2:$E$1001,'Payments Log'!$B$2:$B$1001,A46))</f>
        <v/>
      </c>
      <c r="P46" s="16" t="str">
        <f aca="false">IF(A46="","",D46-O46)</f>
        <v/>
      </c>
      <c r="Q46" s="16" t="str">
        <f aca="false">IF(A46="","",O46-K46)</f>
        <v/>
      </c>
      <c r="R46" s="16" t="str">
        <f aca="false">IF(OR(A46="",C46="Bidding"),"",IFERROR(Settings!$B$4*12*D46/SUMIFS($D$4:$D$53,$C$4:$C$53,"&lt;&gt;Bidding"),0))</f>
        <v/>
      </c>
      <c r="S46" s="17" t="str">
        <f aca="false">IF(OR(A46="",D46=0),"",(D46-MAX(E46,K46)-N(R46))/D46)</f>
        <v/>
      </c>
      <c r="T46" s="24" t="str">
        <f aca="false">IF(A46="","",IF(K46&gt;E46,"OVER BUDGET",IF(S46&lt;Settings!$B$5,"Low margin","OK")))</f>
        <v/>
      </c>
    </row>
    <row r="47" customFormat="false" ht="15" hidden="false" customHeight="false" outlineLevel="0" collapsed="false">
      <c r="A47" s="22" t="str">
        <f aca="false">IF(Jobs!A45="","",Jobs!A45)</f>
        <v/>
      </c>
      <c r="B47" s="22" t="str">
        <f aca="false">IF(A47="","",Jobs!B45)</f>
        <v/>
      </c>
      <c r="C47" s="22" t="str">
        <f aca="false">IF(A47="","",Jobs!D45)</f>
        <v/>
      </c>
      <c r="D47" s="23" t="str">
        <f aca="false">IF(A47="","",Jobs!F45+Jobs!G45)</f>
        <v/>
      </c>
      <c r="E47" s="23" t="str">
        <f aca="false">IF(A47="","",Jobs!M45)</f>
        <v/>
      </c>
      <c r="F47" s="16" t="str">
        <f aca="false">IF($A47="","",SUMIFS('Costs Log'!$F$2:$F$1001,'Costs Log'!$B$2:$B$1001,$A47,'Costs Log'!$C$2:$C$1001,"Labor"))</f>
        <v/>
      </c>
      <c r="G47" s="16" t="str">
        <f aca="false">IF($A47="","",SUMIFS('Costs Log'!$F$2:$F$1001,'Costs Log'!$B$2:$B$1001,$A47,'Costs Log'!$C$2:$C$1001,"Materials"))</f>
        <v/>
      </c>
      <c r="H47" s="16" t="str">
        <f aca="false">IF($A47="","",SUMIFS('Costs Log'!$F$2:$F$1001,'Costs Log'!$B$2:$B$1001,$A47,'Costs Log'!$C$2:$C$1001,"Subcontractors"))</f>
        <v/>
      </c>
      <c r="I47" s="16" t="str">
        <f aca="false">IF($A47="","",SUMIFS('Costs Log'!$F$2:$F$1001,'Costs Log'!$B$2:$B$1001,$A47,'Costs Log'!$C$2:$C$1001,"Equipment"))</f>
        <v/>
      </c>
      <c r="J47" s="16" t="str">
        <f aca="false">IF($A47="","",SUMIFS('Costs Log'!$F$2:$F$1001,'Costs Log'!$B$2:$B$1001,$A47,'Costs Log'!$C$2:$C$1001,"Other"))</f>
        <v/>
      </c>
      <c r="K47" s="16" t="str">
        <f aca="false">IF(A47="","",SUM(F47:J47))</f>
        <v/>
      </c>
      <c r="L47" s="17" t="str">
        <f aca="false">IF(OR(A47="",E47=0),"",K47/E47)</f>
        <v/>
      </c>
      <c r="M47" s="16" t="str">
        <f aca="false">IF(A47="","",Jobs!H45-F47)</f>
        <v/>
      </c>
      <c r="N47" s="16" t="str">
        <f aca="false">IF(A47="","",Jobs!I45-G47)</f>
        <v/>
      </c>
      <c r="O47" s="16" t="str">
        <f aca="false">IF(A47="","",SUMIFS('Payments Log'!$E$2:$E$1001,'Payments Log'!$B$2:$B$1001,A47))</f>
        <v/>
      </c>
      <c r="P47" s="16" t="str">
        <f aca="false">IF(A47="","",D47-O47)</f>
        <v/>
      </c>
      <c r="Q47" s="16" t="str">
        <f aca="false">IF(A47="","",O47-K47)</f>
        <v/>
      </c>
      <c r="R47" s="16" t="str">
        <f aca="false">IF(OR(A47="",C47="Bidding"),"",IFERROR(Settings!$B$4*12*D47/SUMIFS($D$4:$D$53,$C$4:$C$53,"&lt;&gt;Bidding"),0))</f>
        <v/>
      </c>
      <c r="S47" s="17" t="str">
        <f aca="false">IF(OR(A47="",D47=0),"",(D47-MAX(E47,K47)-N(R47))/D47)</f>
        <v/>
      </c>
      <c r="T47" s="24" t="str">
        <f aca="false">IF(A47="","",IF(K47&gt;E47,"OVER BUDGET",IF(S47&lt;Settings!$B$5,"Low margin","OK")))</f>
        <v/>
      </c>
    </row>
    <row r="48" customFormat="false" ht="15" hidden="false" customHeight="false" outlineLevel="0" collapsed="false">
      <c r="A48" s="22" t="str">
        <f aca="false">IF(Jobs!A46="","",Jobs!A46)</f>
        <v/>
      </c>
      <c r="B48" s="22" t="str">
        <f aca="false">IF(A48="","",Jobs!B46)</f>
        <v/>
      </c>
      <c r="C48" s="22" t="str">
        <f aca="false">IF(A48="","",Jobs!D46)</f>
        <v/>
      </c>
      <c r="D48" s="23" t="str">
        <f aca="false">IF(A48="","",Jobs!F46+Jobs!G46)</f>
        <v/>
      </c>
      <c r="E48" s="23" t="str">
        <f aca="false">IF(A48="","",Jobs!M46)</f>
        <v/>
      </c>
      <c r="F48" s="16" t="str">
        <f aca="false">IF($A48="","",SUMIFS('Costs Log'!$F$2:$F$1001,'Costs Log'!$B$2:$B$1001,$A48,'Costs Log'!$C$2:$C$1001,"Labor"))</f>
        <v/>
      </c>
      <c r="G48" s="16" t="str">
        <f aca="false">IF($A48="","",SUMIFS('Costs Log'!$F$2:$F$1001,'Costs Log'!$B$2:$B$1001,$A48,'Costs Log'!$C$2:$C$1001,"Materials"))</f>
        <v/>
      </c>
      <c r="H48" s="16" t="str">
        <f aca="false">IF($A48="","",SUMIFS('Costs Log'!$F$2:$F$1001,'Costs Log'!$B$2:$B$1001,$A48,'Costs Log'!$C$2:$C$1001,"Subcontractors"))</f>
        <v/>
      </c>
      <c r="I48" s="16" t="str">
        <f aca="false">IF($A48="","",SUMIFS('Costs Log'!$F$2:$F$1001,'Costs Log'!$B$2:$B$1001,$A48,'Costs Log'!$C$2:$C$1001,"Equipment"))</f>
        <v/>
      </c>
      <c r="J48" s="16" t="str">
        <f aca="false">IF($A48="","",SUMIFS('Costs Log'!$F$2:$F$1001,'Costs Log'!$B$2:$B$1001,$A48,'Costs Log'!$C$2:$C$1001,"Other"))</f>
        <v/>
      </c>
      <c r="K48" s="16" t="str">
        <f aca="false">IF(A48="","",SUM(F48:J48))</f>
        <v/>
      </c>
      <c r="L48" s="17" t="str">
        <f aca="false">IF(OR(A48="",E48=0),"",K48/E48)</f>
        <v/>
      </c>
      <c r="M48" s="16" t="str">
        <f aca="false">IF(A48="","",Jobs!H46-F48)</f>
        <v/>
      </c>
      <c r="N48" s="16" t="str">
        <f aca="false">IF(A48="","",Jobs!I46-G48)</f>
        <v/>
      </c>
      <c r="O48" s="16" t="str">
        <f aca="false">IF(A48="","",SUMIFS('Payments Log'!$E$2:$E$1001,'Payments Log'!$B$2:$B$1001,A48))</f>
        <v/>
      </c>
      <c r="P48" s="16" t="str">
        <f aca="false">IF(A48="","",D48-O48)</f>
        <v/>
      </c>
      <c r="Q48" s="16" t="str">
        <f aca="false">IF(A48="","",O48-K48)</f>
        <v/>
      </c>
      <c r="R48" s="16" t="str">
        <f aca="false">IF(OR(A48="",C48="Bidding"),"",IFERROR(Settings!$B$4*12*D48/SUMIFS($D$4:$D$53,$C$4:$C$53,"&lt;&gt;Bidding"),0))</f>
        <v/>
      </c>
      <c r="S48" s="17" t="str">
        <f aca="false">IF(OR(A48="",D48=0),"",(D48-MAX(E48,K48)-N(R48))/D48)</f>
        <v/>
      </c>
      <c r="T48" s="24" t="str">
        <f aca="false">IF(A48="","",IF(K48&gt;E48,"OVER BUDGET",IF(S48&lt;Settings!$B$5,"Low margin","OK")))</f>
        <v/>
      </c>
    </row>
    <row r="49" customFormat="false" ht="15" hidden="false" customHeight="false" outlineLevel="0" collapsed="false">
      <c r="A49" s="22" t="str">
        <f aca="false">IF(Jobs!A47="","",Jobs!A47)</f>
        <v/>
      </c>
      <c r="B49" s="22" t="str">
        <f aca="false">IF(A49="","",Jobs!B47)</f>
        <v/>
      </c>
      <c r="C49" s="22" t="str">
        <f aca="false">IF(A49="","",Jobs!D47)</f>
        <v/>
      </c>
      <c r="D49" s="23" t="str">
        <f aca="false">IF(A49="","",Jobs!F47+Jobs!G47)</f>
        <v/>
      </c>
      <c r="E49" s="23" t="str">
        <f aca="false">IF(A49="","",Jobs!M47)</f>
        <v/>
      </c>
      <c r="F49" s="16" t="str">
        <f aca="false">IF($A49="","",SUMIFS('Costs Log'!$F$2:$F$1001,'Costs Log'!$B$2:$B$1001,$A49,'Costs Log'!$C$2:$C$1001,"Labor"))</f>
        <v/>
      </c>
      <c r="G49" s="16" t="str">
        <f aca="false">IF($A49="","",SUMIFS('Costs Log'!$F$2:$F$1001,'Costs Log'!$B$2:$B$1001,$A49,'Costs Log'!$C$2:$C$1001,"Materials"))</f>
        <v/>
      </c>
      <c r="H49" s="16" t="str">
        <f aca="false">IF($A49="","",SUMIFS('Costs Log'!$F$2:$F$1001,'Costs Log'!$B$2:$B$1001,$A49,'Costs Log'!$C$2:$C$1001,"Subcontractors"))</f>
        <v/>
      </c>
      <c r="I49" s="16" t="str">
        <f aca="false">IF($A49="","",SUMIFS('Costs Log'!$F$2:$F$1001,'Costs Log'!$B$2:$B$1001,$A49,'Costs Log'!$C$2:$C$1001,"Equipment"))</f>
        <v/>
      </c>
      <c r="J49" s="16" t="str">
        <f aca="false">IF($A49="","",SUMIFS('Costs Log'!$F$2:$F$1001,'Costs Log'!$B$2:$B$1001,$A49,'Costs Log'!$C$2:$C$1001,"Other"))</f>
        <v/>
      </c>
      <c r="K49" s="16" t="str">
        <f aca="false">IF(A49="","",SUM(F49:J49))</f>
        <v/>
      </c>
      <c r="L49" s="17" t="str">
        <f aca="false">IF(OR(A49="",E49=0),"",K49/E49)</f>
        <v/>
      </c>
      <c r="M49" s="16" t="str">
        <f aca="false">IF(A49="","",Jobs!H47-F49)</f>
        <v/>
      </c>
      <c r="N49" s="16" t="str">
        <f aca="false">IF(A49="","",Jobs!I47-G49)</f>
        <v/>
      </c>
      <c r="O49" s="16" t="str">
        <f aca="false">IF(A49="","",SUMIFS('Payments Log'!$E$2:$E$1001,'Payments Log'!$B$2:$B$1001,A49))</f>
        <v/>
      </c>
      <c r="P49" s="16" t="str">
        <f aca="false">IF(A49="","",D49-O49)</f>
        <v/>
      </c>
      <c r="Q49" s="16" t="str">
        <f aca="false">IF(A49="","",O49-K49)</f>
        <v/>
      </c>
      <c r="R49" s="16" t="str">
        <f aca="false">IF(OR(A49="",C49="Bidding"),"",IFERROR(Settings!$B$4*12*D49/SUMIFS($D$4:$D$53,$C$4:$C$53,"&lt;&gt;Bidding"),0))</f>
        <v/>
      </c>
      <c r="S49" s="17" t="str">
        <f aca="false">IF(OR(A49="",D49=0),"",(D49-MAX(E49,K49)-N(R49))/D49)</f>
        <v/>
      </c>
      <c r="T49" s="24" t="str">
        <f aca="false">IF(A49="","",IF(K49&gt;E49,"OVER BUDGET",IF(S49&lt;Settings!$B$5,"Low margin","OK")))</f>
        <v/>
      </c>
    </row>
    <row r="50" customFormat="false" ht="15" hidden="false" customHeight="false" outlineLevel="0" collapsed="false">
      <c r="A50" s="22" t="str">
        <f aca="false">IF(Jobs!A48="","",Jobs!A48)</f>
        <v/>
      </c>
      <c r="B50" s="22" t="str">
        <f aca="false">IF(A50="","",Jobs!B48)</f>
        <v/>
      </c>
      <c r="C50" s="22" t="str">
        <f aca="false">IF(A50="","",Jobs!D48)</f>
        <v/>
      </c>
      <c r="D50" s="23" t="str">
        <f aca="false">IF(A50="","",Jobs!F48+Jobs!G48)</f>
        <v/>
      </c>
      <c r="E50" s="23" t="str">
        <f aca="false">IF(A50="","",Jobs!M48)</f>
        <v/>
      </c>
      <c r="F50" s="16" t="str">
        <f aca="false">IF($A50="","",SUMIFS('Costs Log'!$F$2:$F$1001,'Costs Log'!$B$2:$B$1001,$A50,'Costs Log'!$C$2:$C$1001,"Labor"))</f>
        <v/>
      </c>
      <c r="G50" s="16" t="str">
        <f aca="false">IF($A50="","",SUMIFS('Costs Log'!$F$2:$F$1001,'Costs Log'!$B$2:$B$1001,$A50,'Costs Log'!$C$2:$C$1001,"Materials"))</f>
        <v/>
      </c>
      <c r="H50" s="16" t="str">
        <f aca="false">IF($A50="","",SUMIFS('Costs Log'!$F$2:$F$1001,'Costs Log'!$B$2:$B$1001,$A50,'Costs Log'!$C$2:$C$1001,"Subcontractors"))</f>
        <v/>
      </c>
      <c r="I50" s="16" t="str">
        <f aca="false">IF($A50="","",SUMIFS('Costs Log'!$F$2:$F$1001,'Costs Log'!$B$2:$B$1001,$A50,'Costs Log'!$C$2:$C$1001,"Equipment"))</f>
        <v/>
      </c>
      <c r="J50" s="16" t="str">
        <f aca="false">IF($A50="","",SUMIFS('Costs Log'!$F$2:$F$1001,'Costs Log'!$B$2:$B$1001,$A50,'Costs Log'!$C$2:$C$1001,"Other"))</f>
        <v/>
      </c>
      <c r="K50" s="16" t="str">
        <f aca="false">IF(A50="","",SUM(F50:J50))</f>
        <v/>
      </c>
      <c r="L50" s="17" t="str">
        <f aca="false">IF(OR(A50="",E50=0),"",K50/E50)</f>
        <v/>
      </c>
      <c r="M50" s="16" t="str">
        <f aca="false">IF(A50="","",Jobs!H48-F50)</f>
        <v/>
      </c>
      <c r="N50" s="16" t="str">
        <f aca="false">IF(A50="","",Jobs!I48-G50)</f>
        <v/>
      </c>
      <c r="O50" s="16" t="str">
        <f aca="false">IF(A50="","",SUMIFS('Payments Log'!$E$2:$E$1001,'Payments Log'!$B$2:$B$1001,A50))</f>
        <v/>
      </c>
      <c r="P50" s="16" t="str">
        <f aca="false">IF(A50="","",D50-O50)</f>
        <v/>
      </c>
      <c r="Q50" s="16" t="str">
        <f aca="false">IF(A50="","",O50-K50)</f>
        <v/>
      </c>
      <c r="R50" s="16" t="str">
        <f aca="false">IF(OR(A50="",C50="Bidding"),"",IFERROR(Settings!$B$4*12*D50/SUMIFS($D$4:$D$53,$C$4:$C$53,"&lt;&gt;Bidding"),0))</f>
        <v/>
      </c>
      <c r="S50" s="17" t="str">
        <f aca="false">IF(OR(A50="",D50=0),"",(D50-MAX(E50,K50)-N(R50))/D50)</f>
        <v/>
      </c>
      <c r="T50" s="24" t="str">
        <f aca="false">IF(A50="","",IF(K50&gt;E50,"OVER BUDGET",IF(S50&lt;Settings!$B$5,"Low margin","OK")))</f>
        <v/>
      </c>
    </row>
    <row r="51" customFormat="false" ht="15" hidden="false" customHeight="false" outlineLevel="0" collapsed="false">
      <c r="A51" s="22" t="str">
        <f aca="false">IF(Jobs!A49="","",Jobs!A49)</f>
        <v/>
      </c>
      <c r="B51" s="22" t="str">
        <f aca="false">IF(A51="","",Jobs!B49)</f>
        <v/>
      </c>
      <c r="C51" s="22" t="str">
        <f aca="false">IF(A51="","",Jobs!D49)</f>
        <v/>
      </c>
      <c r="D51" s="23" t="str">
        <f aca="false">IF(A51="","",Jobs!F49+Jobs!G49)</f>
        <v/>
      </c>
      <c r="E51" s="23" t="str">
        <f aca="false">IF(A51="","",Jobs!M49)</f>
        <v/>
      </c>
      <c r="F51" s="16" t="str">
        <f aca="false">IF($A51="","",SUMIFS('Costs Log'!$F$2:$F$1001,'Costs Log'!$B$2:$B$1001,$A51,'Costs Log'!$C$2:$C$1001,"Labor"))</f>
        <v/>
      </c>
      <c r="G51" s="16" t="str">
        <f aca="false">IF($A51="","",SUMIFS('Costs Log'!$F$2:$F$1001,'Costs Log'!$B$2:$B$1001,$A51,'Costs Log'!$C$2:$C$1001,"Materials"))</f>
        <v/>
      </c>
      <c r="H51" s="16" t="str">
        <f aca="false">IF($A51="","",SUMIFS('Costs Log'!$F$2:$F$1001,'Costs Log'!$B$2:$B$1001,$A51,'Costs Log'!$C$2:$C$1001,"Subcontractors"))</f>
        <v/>
      </c>
      <c r="I51" s="16" t="str">
        <f aca="false">IF($A51="","",SUMIFS('Costs Log'!$F$2:$F$1001,'Costs Log'!$B$2:$B$1001,$A51,'Costs Log'!$C$2:$C$1001,"Equipment"))</f>
        <v/>
      </c>
      <c r="J51" s="16" t="str">
        <f aca="false">IF($A51="","",SUMIFS('Costs Log'!$F$2:$F$1001,'Costs Log'!$B$2:$B$1001,$A51,'Costs Log'!$C$2:$C$1001,"Other"))</f>
        <v/>
      </c>
      <c r="K51" s="16" t="str">
        <f aca="false">IF(A51="","",SUM(F51:J51))</f>
        <v/>
      </c>
      <c r="L51" s="17" t="str">
        <f aca="false">IF(OR(A51="",E51=0),"",K51/E51)</f>
        <v/>
      </c>
      <c r="M51" s="16" t="str">
        <f aca="false">IF(A51="","",Jobs!H49-F51)</f>
        <v/>
      </c>
      <c r="N51" s="16" t="str">
        <f aca="false">IF(A51="","",Jobs!I49-G51)</f>
        <v/>
      </c>
      <c r="O51" s="16" t="str">
        <f aca="false">IF(A51="","",SUMIFS('Payments Log'!$E$2:$E$1001,'Payments Log'!$B$2:$B$1001,A51))</f>
        <v/>
      </c>
      <c r="P51" s="16" t="str">
        <f aca="false">IF(A51="","",D51-O51)</f>
        <v/>
      </c>
      <c r="Q51" s="16" t="str">
        <f aca="false">IF(A51="","",O51-K51)</f>
        <v/>
      </c>
      <c r="R51" s="16" t="str">
        <f aca="false">IF(OR(A51="",C51="Bidding"),"",IFERROR(Settings!$B$4*12*D51/SUMIFS($D$4:$D$53,$C$4:$C$53,"&lt;&gt;Bidding"),0))</f>
        <v/>
      </c>
      <c r="S51" s="17" t="str">
        <f aca="false">IF(OR(A51="",D51=0),"",(D51-MAX(E51,K51)-N(R51))/D51)</f>
        <v/>
      </c>
      <c r="T51" s="24" t="str">
        <f aca="false">IF(A51="","",IF(K51&gt;E51,"OVER BUDGET",IF(S51&lt;Settings!$B$5,"Low margin","OK")))</f>
        <v/>
      </c>
    </row>
    <row r="52" customFormat="false" ht="15" hidden="false" customHeight="false" outlineLevel="0" collapsed="false">
      <c r="A52" s="22" t="str">
        <f aca="false">IF(Jobs!A50="","",Jobs!A50)</f>
        <v/>
      </c>
      <c r="B52" s="22" t="str">
        <f aca="false">IF(A52="","",Jobs!B50)</f>
        <v/>
      </c>
      <c r="C52" s="22" t="str">
        <f aca="false">IF(A52="","",Jobs!D50)</f>
        <v/>
      </c>
      <c r="D52" s="23" t="str">
        <f aca="false">IF(A52="","",Jobs!F50+Jobs!G50)</f>
        <v/>
      </c>
      <c r="E52" s="23" t="str">
        <f aca="false">IF(A52="","",Jobs!M50)</f>
        <v/>
      </c>
      <c r="F52" s="16" t="str">
        <f aca="false">IF($A52="","",SUMIFS('Costs Log'!$F$2:$F$1001,'Costs Log'!$B$2:$B$1001,$A52,'Costs Log'!$C$2:$C$1001,"Labor"))</f>
        <v/>
      </c>
      <c r="G52" s="16" t="str">
        <f aca="false">IF($A52="","",SUMIFS('Costs Log'!$F$2:$F$1001,'Costs Log'!$B$2:$B$1001,$A52,'Costs Log'!$C$2:$C$1001,"Materials"))</f>
        <v/>
      </c>
      <c r="H52" s="16" t="str">
        <f aca="false">IF($A52="","",SUMIFS('Costs Log'!$F$2:$F$1001,'Costs Log'!$B$2:$B$1001,$A52,'Costs Log'!$C$2:$C$1001,"Subcontractors"))</f>
        <v/>
      </c>
      <c r="I52" s="16" t="str">
        <f aca="false">IF($A52="","",SUMIFS('Costs Log'!$F$2:$F$1001,'Costs Log'!$B$2:$B$1001,$A52,'Costs Log'!$C$2:$C$1001,"Equipment"))</f>
        <v/>
      </c>
      <c r="J52" s="16" t="str">
        <f aca="false">IF($A52="","",SUMIFS('Costs Log'!$F$2:$F$1001,'Costs Log'!$B$2:$B$1001,$A52,'Costs Log'!$C$2:$C$1001,"Other"))</f>
        <v/>
      </c>
      <c r="K52" s="16" t="str">
        <f aca="false">IF(A52="","",SUM(F52:J52))</f>
        <v/>
      </c>
      <c r="L52" s="17" t="str">
        <f aca="false">IF(OR(A52="",E52=0),"",K52/E52)</f>
        <v/>
      </c>
      <c r="M52" s="16" t="str">
        <f aca="false">IF(A52="","",Jobs!H50-F52)</f>
        <v/>
      </c>
      <c r="N52" s="16" t="str">
        <f aca="false">IF(A52="","",Jobs!I50-G52)</f>
        <v/>
      </c>
      <c r="O52" s="16" t="str">
        <f aca="false">IF(A52="","",SUMIFS('Payments Log'!$E$2:$E$1001,'Payments Log'!$B$2:$B$1001,A52))</f>
        <v/>
      </c>
      <c r="P52" s="16" t="str">
        <f aca="false">IF(A52="","",D52-O52)</f>
        <v/>
      </c>
      <c r="Q52" s="16" t="str">
        <f aca="false">IF(A52="","",O52-K52)</f>
        <v/>
      </c>
      <c r="R52" s="16" t="str">
        <f aca="false">IF(OR(A52="",C52="Bidding"),"",IFERROR(Settings!$B$4*12*D52/SUMIFS($D$4:$D$53,$C$4:$C$53,"&lt;&gt;Bidding"),0))</f>
        <v/>
      </c>
      <c r="S52" s="17" t="str">
        <f aca="false">IF(OR(A52="",D52=0),"",(D52-MAX(E52,K52)-N(R52))/D52)</f>
        <v/>
      </c>
      <c r="T52" s="24" t="str">
        <f aca="false">IF(A52="","",IF(K52&gt;E52,"OVER BUDGET",IF(S52&lt;Settings!$B$5,"Low margin","OK")))</f>
        <v/>
      </c>
    </row>
    <row r="53" customFormat="false" ht="15" hidden="false" customHeight="false" outlineLevel="0" collapsed="false">
      <c r="A53" s="22" t="str">
        <f aca="false">IF(Jobs!A51="","",Jobs!A51)</f>
        <v/>
      </c>
      <c r="B53" s="22" t="str">
        <f aca="false">IF(A53="","",Jobs!B51)</f>
        <v/>
      </c>
      <c r="C53" s="22" t="str">
        <f aca="false">IF(A53="","",Jobs!D51)</f>
        <v/>
      </c>
      <c r="D53" s="23" t="str">
        <f aca="false">IF(A53="","",Jobs!F51+Jobs!G51)</f>
        <v/>
      </c>
      <c r="E53" s="23" t="str">
        <f aca="false">IF(A53="","",Jobs!M51)</f>
        <v/>
      </c>
      <c r="F53" s="16" t="str">
        <f aca="false">IF($A53="","",SUMIFS('Costs Log'!$F$2:$F$1001,'Costs Log'!$B$2:$B$1001,$A53,'Costs Log'!$C$2:$C$1001,"Labor"))</f>
        <v/>
      </c>
      <c r="G53" s="16" t="str">
        <f aca="false">IF($A53="","",SUMIFS('Costs Log'!$F$2:$F$1001,'Costs Log'!$B$2:$B$1001,$A53,'Costs Log'!$C$2:$C$1001,"Materials"))</f>
        <v/>
      </c>
      <c r="H53" s="16" t="str">
        <f aca="false">IF($A53="","",SUMIFS('Costs Log'!$F$2:$F$1001,'Costs Log'!$B$2:$B$1001,$A53,'Costs Log'!$C$2:$C$1001,"Subcontractors"))</f>
        <v/>
      </c>
      <c r="I53" s="16" t="str">
        <f aca="false">IF($A53="","",SUMIFS('Costs Log'!$F$2:$F$1001,'Costs Log'!$B$2:$B$1001,$A53,'Costs Log'!$C$2:$C$1001,"Equipment"))</f>
        <v/>
      </c>
      <c r="J53" s="16" t="str">
        <f aca="false">IF($A53="","",SUMIFS('Costs Log'!$F$2:$F$1001,'Costs Log'!$B$2:$B$1001,$A53,'Costs Log'!$C$2:$C$1001,"Other"))</f>
        <v/>
      </c>
      <c r="K53" s="16" t="str">
        <f aca="false">IF(A53="","",SUM(F53:J53))</f>
        <v/>
      </c>
      <c r="L53" s="17" t="str">
        <f aca="false">IF(OR(A53="",E53=0),"",K53/E53)</f>
        <v/>
      </c>
      <c r="M53" s="16" t="str">
        <f aca="false">IF(A53="","",Jobs!H51-F53)</f>
        <v/>
      </c>
      <c r="N53" s="16" t="str">
        <f aca="false">IF(A53="","",Jobs!I51-G53)</f>
        <v/>
      </c>
      <c r="O53" s="16" t="str">
        <f aca="false">IF(A53="","",SUMIFS('Payments Log'!$E$2:$E$1001,'Payments Log'!$B$2:$B$1001,A53))</f>
        <v/>
      </c>
      <c r="P53" s="16" t="str">
        <f aca="false">IF(A53="","",D53-O53)</f>
        <v/>
      </c>
      <c r="Q53" s="16" t="str">
        <f aca="false">IF(A53="","",O53-K53)</f>
        <v/>
      </c>
      <c r="R53" s="16" t="str">
        <f aca="false">IF(OR(A53="",C53="Bidding"),"",IFERROR(Settings!$B$4*12*D53/SUMIFS($D$4:$D$53,$C$4:$C$53,"&lt;&gt;Bidding"),0))</f>
        <v/>
      </c>
      <c r="S53" s="17" t="str">
        <f aca="false">IF(OR(A53="",D53=0),"",(D53-MAX(E53,K53)-N(R53))/D53)</f>
        <v/>
      </c>
      <c r="T53" s="24" t="str">
        <f aca="false">IF(A53="","",IF(K53&gt;E53,"OVER BUDGET",IF(S53&lt;Settings!$B$5,"Low margin","OK")))</f>
        <v/>
      </c>
    </row>
    <row r="54" customFormat="false" ht="15" hidden="false" customHeight="false" outlineLevel="0" collapsed="false">
      <c r="A54" s="4" t="s">
        <v>103</v>
      </c>
      <c r="D54" s="25" t="n">
        <f aca="false">SUM(D4:D53)</f>
        <v>133500</v>
      </c>
      <c r="E54" s="25" t="n">
        <f aca="false">SUM(E4:E53)</f>
        <v>94000</v>
      </c>
      <c r="F54" s="25" t="n">
        <f aca="false">SUM(F4:F53)</f>
        <v>22700</v>
      </c>
      <c r="G54" s="25" t="n">
        <f aca="false">SUM(G4:G53)</f>
        <v>18800</v>
      </c>
      <c r="H54" s="25" t="n">
        <f aca="false">SUM(H4:H53)</f>
        <v>3800</v>
      </c>
      <c r="I54" s="25" t="n">
        <f aca="false">SUM(I4:I53)</f>
        <v>0</v>
      </c>
      <c r="J54" s="25" t="n">
        <f aca="false">SUM(J4:J53)</f>
        <v>0</v>
      </c>
      <c r="K54" s="25" t="n">
        <f aca="false">SUM(K4:K53)</f>
        <v>45300</v>
      </c>
      <c r="M54" s="25" t="n">
        <f aca="false">SUM(M4:M53)</f>
        <v>15800</v>
      </c>
      <c r="N54" s="25" t="n">
        <f aca="false">SUM(N4:N53)</f>
        <v>14200</v>
      </c>
      <c r="O54" s="25" t="n">
        <f aca="false">SUM(O4:O53)</f>
        <v>70850</v>
      </c>
      <c r="P54" s="25" t="n">
        <f aca="false">SUM(P4:P53)</f>
        <v>62650</v>
      </c>
      <c r="Q54" s="25" t="n">
        <f aca="false">SUM(Q4:Q53)</f>
        <v>25550</v>
      </c>
      <c r="R54" s="25" t="n">
        <f aca="false">SUM(R4:R53)</f>
        <v>18000</v>
      </c>
    </row>
  </sheetData>
  <sheetProtection sheet="true" formatCells="false" formatColumns="false" formatRows="false" sort="false" autoFilter="false"/>
  <conditionalFormatting sqref="T4:T53">
    <cfRule type="cellIs" priority="2" operator="equal" aboveAverage="0" equalAverage="0" bottom="0" percent="0" rank="0" text="" dxfId="0">
      <formula>"OVER BUDGET"</formula>
    </cfRule>
    <cfRule type="cellIs" priority="3" operator="equal" aboveAverage="0" equalAverage="0" bottom="0" percent="0" rank="0" text="" dxfId="1">
      <formula>"Low margin"</formula>
    </cfRule>
    <cfRule type="cellIs" priority="4" operator="equal" aboveAverage="0" equalAverage="0" bottom="0" percent="0" rank="0" text="" dxfId="2">
      <formula>"OK"</formula>
    </cfRule>
  </conditionalFormatting>
  <conditionalFormatting sqref="L4:L53">
    <cfRule type="expression" priority="5" aboveAverage="0" equalAverage="0" bottom="0" percent="0" rank="0" text="" dxfId="0">
      <formula>AND(L4&lt;&gt;"",L4&gt;1)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20"/>
    <col collapsed="false" customWidth="true" hidden="false" outlineLevel="0" max="5" min="4" style="0" width="18"/>
    <col collapsed="false" customWidth="true" hidden="false" outlineLevel="0" max="6" min="6" style="0" width="20"/>
    <col collapsed="false" customWidth="true" hidden="false" outlineLevel="0" max="7" min="7" style="0" width="24"/>
  </cols>
  <sheetData>
    <row r="1" customFormat="false" ht="17.35" hidden="false" customHeight="false" outlineLevel="0" collapsed="false">
      <c r="A1" s="21" t="str">
        <f aca="false">Settings!B2&amp;" - 12-Month Cash Flow"</f>
        <v>Acme Renovations LLC - 12-Month Cash Flow</v>
      </c>
    </row>
    <row r="3" customFormat="false" ht="31.5" hidden="false" customHeight="true" outlineLevel="0" collapsed="false">
      <c r="A3" s="6" t="s">
        <v>104</v>
      </c>
      <c r="B3" s="6" t="s">
        <v>105</v>
      </c>
      <c r="C3" s="6" t="s">
        <v>106</v>
      </c>
      <c r="D3" s="6" t="s">
        <v>107</v>
      </c>
      <c r="E3" s="6" t="s">
        <v>108</v>
      </c>
      <c r="F3" s="6" t="s">
        <v>109</v>
      </c>
      <c r="G3" s="6" t="s">
        <v>110</v>
      </c>
    </row>
    <row r="4" customFormat="false" ht="15" hidden="false" customHeight="false" outlineLevel="0" collapsed="false">
      <c r="A4" s="26" t="n">
        <f aca="false">EDATE(Settings!$B$6,0)</f>
        <v>46023</v>
      </c>
      <c r="B4" s="16" t="n">
        <f aca="false">SUMIFS('Payments Log'!$E$2:$E$1001,'Payments Log'!$A$2:$A$1001,"&gt;="&amp;A4,'Payments Log'!$A$2:$A$1001,"&lt;"&amp;EDATE(A4,1))</f>
        <v>36400</v>
      </c>
      <c r="C4" s="16" t="n">
        <f aca="false">SUMIFS('Costs Log'!$F$2:$F$1001,'Costs Log'!$A$2:$A$1001,"&gt;="&amp;A4,'Costs Log'!$A$2:$A$1001,"&lt;"&amp;EDATE(A4,1))</f>
        <v>24600</v>
      </c>
      <c r="D4" s="23" t="n">
        <f aca="false">Settings!$B$4</f>
        <v>1500</v>
      </c>
      <c r="E4" s="16" t="n">
        <f aca="false">B4-C4-D4</f>
        <v>10300</v>
      </c>
      <c r="F4" s="16" t="n">
        <f aca="false">Settings!$B$3+E4</f>
        <v>25300</v>
      </c>
      <c r="G4" s="24" t="str">
        <f aca="false">IF(F4&lt;0,"CASH SHORTFALL",IF(F4&lt;Settings!$B$4,"Below 1 month overhead",""))</f>
        <v/>
      </c>
    </row>
    <row r="5" customFormat="false" ht="15" hidden="false" customHeight="false" outlineLevel="0" collapsed="false">
      <c r="A5" s="26" t="n">
        <f aca="false">EDATE(Settings!$B$6,1)</f>
        <v>46054</v>
      </c>
      <c r="B5" s="16" t="n">
        <f aca="false">SUMIFS('Payments Log'!$E$2:$E$1001,'Payments Log'!$A$2:$A$1001,"&gt;="&amp;A5,'Payments Log'!$A$2:$A$1001,"&lt;"&amp;EDATE(A5,1))</f>
        <v>34450</v>
      </c>
      <c r="C5" s="16" t="n">
        <f aca="false">SUMIFS('Costs Log'!$F$2:$F$1001,'Costs Log'!$A$2:$A$1001,"&gt;="&amp;A5,'Costs Log'!$A$2:$A$1001,"&lt;"&amp;EDATE(A5,1))</f>
        <v>14600</v>
      </c>
      <c r="D5" s="23" t="n">
        <f aca="false">Settings!$B$4</f>
        <v>1500</v>
      </c>
      <c r="E5" s="16" t="n">
        <f aca="false">B5-C5-D5</f>
        <v>18350</v>
      </c>
      <c r="F5" s="16" t="n">
        <f aca="false">F4+E5</f>
        <v>43650</v>
      </c>
      <c r="G5" s="24" t="str">
        <f aca="false">IF(F5&lt;0,"CASH SHORTFALL",IF(F5&lt;Settings!$B$4,"Below 1 month overhead",""))</f>
        <v/>
      </c>
    </row>
    <row r="6" customFormat="false" ht="15" hidden="false" customHeight="false" outlineLevel="0" collapsed="false">
      <c r="A6" s="26" t="n">
        <f aca="false">EDATE(Settings!$B$6,2)</f>
        <v>46082</v>
      </c>
      <c r="B6" s="16" t="n">
        <f aca="false">SUMIFS('Payments Log'!$E$2:$E$1001,'Payments Log'!$A$2:$A$1001,"&gt;="&amp;A6,'Payments Log'!$A$2:$A$1001,"&lt;"&amp;EDATE(A6,1))</f>
        <v>0</v>
      </c>
      <c r="C6" s="16" t="n">
        <f aca="false">SUMIFS('Costs Log'!$F$2:$F$1001,'Costs Log'!$A$2:$A$1001,"&gt;="&amp;A6,'Costs Log'!$A$2:$A$1001,"&lt;"&amp;EDATE(A6,1))</f>
        <v>6100</v>
      </c>
      <c r="D6" s="23" t="n">
        <f aca="false">Settings!$B$4</f>
        <v>1500</v>
      </c>
      <c r="E6" s="16" t="n">
        <f aca="false">B6-C6-D6</f>
        <v>-7600</v>
      </c>
      <c r="F6" s="16" t="n">
        <f aca="false">F5+E6</f>
        <v>36050</v>
      </c>
      <c r="G6" s="24" t="str">
        <f aca="false">IF(F6&lt;0,"CASH SHORTFALL",IF(F6&lt;Settings!$B$4,"Below 1 month overhead",""))</f>
        <v/>
      </c>
    </row>
    <row r="7" customFormat="false" ht="15" hidden="false" customHeight="false" outlineLevel="0" collapsed="false">
      <c r="A7" s="26" t="n">
        <f aca="false">EDATE(Settings!$B$6,3)</f>
        <v>46113</v>
      </c>
      <c r="B7" s="16" t="n">
        <f aca="false">SUMIFS('Payments Log'!$E$2:$E$1001,'Payments Log'!$A$2:$A$1001,"&gt;="&amp;A7,'Payments Log'!$A$2:$A$1001,"&lt;"&amp;EDATE(A7,1))</f>
        <v>0</v>
      </c>
      <c r="C7" s="16" t="n">
        <f aca="false">SUMIFS('Costs Log'!$F$2:$F$1001,'Costs Log'!$A$2:$A$1001,"&gt;="&amp;A7,'Costs Log'!$A$2:$A$1001,"&lt;"&amp;EDATE(A7,1))</f>
        <v>0</v>
      </c>
      <c r="D7" s="23" t="n">
        <f aca="false">Settings!$B$4</f>
        <v>1500</v>
      </c>
      <c r="E7" s="16" t="n">
        <f aca="false">B7-C7-D7</f>
        <v>-1500</v>
      </c>
      <c r="F7" s="16" t="n">
        <f aca="false">F6+E7</f>
        <v>34550</v>
      </c>
      <c r="G7" s="24" t="str">
        <f aca="false">IF(F7&lt;0,"CASH SHORTFALL",IF(F7&lt;Settings!$B$4,"Below 1 month overhead",""))</f>
        <v/>
      </c>
    </row>
    <row r="8" customFormat="false" ht="15" hidden="false" customHeight="false" outlineLevel="0" collapsed="false">
      <c r="A8" s="26" t="n">
        <f aca="false">EDATE(Settings!$B$6,4)</f>
        <v>46143</v>
      </c>
      <c r="B8" s="16" t="n">
        <f aca="false">SUMIFS('Payments Log'!$E$2:$E$1001,'Payments Log'!$A$2:$A$1001,"&gt;="&amp;A8,'Payments Log'!$A$2:$A$1001,"&lt;"&amp;EDATE(A8,1))</f>
        <v>0</v>
      </c>
      <c r="C8" s="16" t="n">
        <f aca="false">SUMIFS('Costs Log'!$F$2:$F$1001,'Costs Log'!$A$2:$A$1001,"&gt;="&amp;A8,'Costs Log'!$A$2:$A$1001,"&lt;"&amp;EDATE(A8,1))</f>
        <v>0</v>
      </c>
      <c r="D8" s="23" t="n">
        <f aca="false">Settings!$B$4</f>
        <v>1500</v>
      </c>
      <c r="E8" s="16" t="n">
        <f aca="false">B8-C8-D8</f>
        <v>-1500</v>
      </c>
      <c r="F8" s="16" t="n">
        <f aca="false">F7+E8</f>
        <v>33050</v>
      </c>
      <c r="G8" s="24" t="str">
        <f aca="false">IF(F8&lt;0,"CASH SHORTFALL",IF(F8&lt;Settings!$B$4,"Below 1 month overhead",""))</f>
        <v/>
      </c>
    </row>
    <row r="9" customFormat="false" ht="15" hidden="false" customHeight="false" outlineLevel="0" collapsed="false">
      <c r="A9" s="26" t="n">
        <f aca="false">EDATE(Settings!$B$6,5)</f>
        <v>46174</v>
      </c>
      <c r="B9" s="16" t="n">
        <f aca="false">SUMIFS('Payments Log'!$E$2:$E$1001,'Payments Log'!$A$2:$A$1001,"&gt;="&amp;A9,'Payments Log'!$A$2:$A$1001,"&lt;"&amp;EDATE(A9,1))</f>
        <v>0</v>
      </c>
      <c r="C9" s="16" t="n">
        <f aca="false">SUMIFS('Costs Log'!$F$2:$F$1001,'Costs Log'!$A$2:$A$1001,"&gt;="&amp;A9,'Costs Log'!$A$2:$A$1001,"&lt;"&amp;EDATE(A9,1))</f>
        <v>0</v>
      </c>
      <c r="D9" s="23" t="n">
        <f aca="false">Settings!$B$4</f>
        <v>1500</v>
      </c>
      <c r="E9" s="16" t="n">
        <f aca="false">B9-C9-D9</f>
        <v>-1500</v>
      </c>
      <c r="F9" s="16" t="n">
        <f aca="false">F8+E9</f>
        <v>31550</v>
      </c>
      <c r="G9" s="24" t="str">
        <f aca="false">IF(F9&lt;0,"CASH SHORTFALL",IF(F9&lt;Settings!$B$4,"Below 1 month overhead",""))</f>
        <v/>
      </c>
    </row>
    <row r="10" customFormat="false" ht="15" hidden="false" customHeight="false" outlineLevel="0" collapsed="false">
      <c r="A10" s="26" t="n">
        <f aca="false">EDATE(Settings!$B$6,6)</f>
        <v>46204</v>
      </c>
      <c r="B10" s="16" t="n">
        <f aca="false">SUMIFS('Payments Log'!$E$2:$E$1001,'Payments Log'!$A$2:$A$1001,"&gt;="&amp;A10,'Payments Log'!$A$2:$A$1001,"&lt;"&amp;EDATE(A10,1))</f>
        <v>0</v>
      </c>
      <c r="C10" s="16" t="n">
        <f aca="false">SUMIFS('Costs Log'!$F$2:$F$1001,'Costs Log'!$A$2:$A$1001,"&gt;="&amp;A10,'Costs Log'!$A$2:$A$1001,"&lt;"&amp;EDATE(A10,1))</f>
        <v>0</v>
      </c>
      <c r="D10" s="23" t="n">
        <f aca="false">Settings!$B$4</f>
        <v>1500</v>
      </c>
      <c r="E10" s="16" t="n">
        <f aca="false">B10-C10-D10</f>
        <v>-1500</v>
      </c>
      <c r="F10" s="16" t="n">
        <f aca="false">F9+E10</f>
        <v>30050</v>
      </c>
      <c r="G10" s="24" t="str">
        <f aca="false">IF(F10&lt;0,"CASH SHORTFALL",IF(F10&lt;Settings!$B$4,"Below 1 month overhead",""))</f>
        <v/>
      </c>
    </row>
    <row r="11" customFormat="false" ht="15" hidden="false" customHeight="false" outlineLevel="0" collapsed="false">
      <c r="A11" s="26" t="n">
        <f aca="false">EDATE(Settings!$B$6,7)</f>
        <v>46235</v>
      </c>
      <c r="B11" s="16" t="n">
        <f aca="false">SUMIFS('Payments Log'!$E$2:$E$1001,'Payments Log'!$A$2:$A$1001,"&gt;="&amp;A11,'Payments Log'!$A$2:$A$1001,"&lt;"&amp;EDATE(A11,1))</f>
        <v>0</v>
      </c>
      <c r="C11" s="16" t="n">
        <f aca="false">SUMIFS('Costs Log'!$F$2:$F$1001,'Costs Log'!$A$2:$A$1001,"&gt;="&amp;A11,'Costs Log'!$A$2:$A$1001,"&lt;"&amp;EDATE(A11,1))</f>
        <v>0</v>
      </c>
      <c r="D11" s="23" t="n">
        <f aca="false">Settings!$B$4</f>
        <v>1500</v>
      </c>
      <c r="E11" s="16" t="n">
        <f aca="false">B11-C11-D11</f>
        <v>-1500</v>
      </c>
      <c r="F11" s="16" t="n">
        <f aca="false">F10+E11</f>
        <v>28550</v>
      </c>
      <c r="G11" s="24" t="str">
        <f aca="false">IF(F11&lt;0,"CASH SHORTFALL",IF(F11&lt;Settings!$B$4,"Below 1 month overhead",""))</f>
        <v/>
      </c>
    </row>
    <row r="12" customFormat="false" ht="15" hidden="false" customHeight="false" outlineLevel="0" collapsed="false">
      <c r="A12" s="26" t="n">
        <f aca="false">EDATE(Settings!$B$6,8)</f>
        <v>46266</v>
      </c>
      <c r="B12" s="16" t="n">
        <f aca="false">SUMIFS('Payments Log'!$E$2:$E$1001,'Payments Log'!$A$2:$A$1001,"&gt;="&amp;A12,'Payments Log'!$A$2:$A$1001,"&lt;"&amp;EDATE(A12,1))</f>
        <v>0</v>
      </c>
      <c r="C12" s="16" t="n">
        <f aca="false">SUMIFS('Costs Log'!$F$2:$F$1001,'Costs Log'!$A$2:$A$1001,"&gt;="&amp;A12,'Costs Log'!$A$2:$A$1001,"&lt;"&amp;EDATE(A12,1))</f>
        <v>0</v>
      </c>
      <c r="D12" s="23" t="n">
        <f aca="false">Settings!$B$4</f>
        <v>1500</v>
      </c>
      <c r="E12" s="16" t="n">
        <f aca="false">B12-C12-D12</f>
        <v>-1500</v>
      </c>
      <c r="F12" s="16" t="n">
        <f aca="false">F11+E12</f>
        <v>27050</v>
      </c>
      <c r="G12" s="24" t="str">
        <f aca="false">IF(F12&lt;0,"CASH SHORTFALL",IF(F12&lt;Settings!$B$4,"Below 1 month overhead",""))</f>
        <v/>
      </c>
    </row>
    <row r="13" customFormat="false" ht="15" hidden="false" customHeight="false" outlineLevel="0" collapsed="false">
      <c r="A13" s="26" t="n">
        <f aca="false">EDATE(Settings!$B$6,9)</f>
        <v>46296</v>
      </c>
      <c r="B13" s="16" t="n">
        <f aca="false">SUMIFS('Payments Log'!$E$2:$E$1001,'Payments Log'!$A$2:$A$1001,"&gt;="&amp;A13,'Payments Log'!$A$2:$A$1001,"&lt;"&amp;EDATE(A13,1))</f>
        <v>0</v>
      </c>
      <c r="C13" s="16" t="n">
        <f aca="false">SUMIFS('Costs Log'!$F$2:$F$1001,'Costs Log'!$A$2:$A$1001,"&gt;="&amp;A13,'Costs Log'!$A$2:$A$1001,"&lt;"&amp;EDATE(A13,1))</f>
        <v>0</v>
      </c>
      <c r="D13" s="23" t="n">
        <f aca="false">Settings!$B$4</f>
        <v>1500</v>
      </c>
      <c r="E13" s="16" t="n">
        <f aca="false">B13-C13-D13</f>
        <v>-1500</v>
      </c>
      <c r="F13" s="16" t="n">
        <f aca="false">F12+E13</f>
        <v>25550</v>
      </c>
      <c r="G13" s="24" t="str">
        <f aca="false">IF(F13&lt;0,"CASH SHORTFALL",IF(F13&lt;Settings!$B$4,"Below 1 month overhead",""))</f>
        <v/>
      </c>
    </row>
    <row r="14" customFormat="false" ht="15" hidden="false" customHeight="false" outlineLevel="0" collapsed="false">
      <c r="A14" s="26" t="n">
        <f aca="false">EDATE(Settings!$B$6,10)</f>
        <v>46327</v>
      </c>
      <c r="B14" s="16" t="n">
        <f aca="false">SUMIFS('Payments Log'!$E$2:$E$1001,'Payments Log'!$A$2:$A$1001,"&gt;="&amp;A14,'Payments Log'!$A$2:$A$1001,"&lt;"&amp;EDATE(A14,1))</f>
        <v>0</v>
      </c>
      <c r="C14" s="16" t="n">
        <f aca="false">SUMIFS('Costs Log'!$F$2:$F$1001,'Costs Log'!$A$2:$A$1001,"&gt;="&amp;A14,'Costs Log'!$A$2:$A$1001,"&lt;"&amp;EDATE(A14,1))</f>
        <v>0</v>
      </c>
      <c r="D14" s="23" t="n">
        <f aca="false">Settings!$B$4</f>
        <v>1500</v>
      </c>
      <c r="E14" s="16" t="n">
        <f aca="false">B14-C14-D14</f>
        <v>-1500</v>
      </c>
      <c r="F14" s="16" t="n">
        <f aca="false">F13+E14</f>
        <v>24050</v>
      </c>
      <c r="G14" s="24" t="str">
        <f aca="false">IF(F14&lt;0,"CASH SHORTFALL",IF(F14&lt;Settings!$B$4,"Below 1 month overhead",""))</f>
        <v/>
      </c>
    </row>
    <row r="15" customFormat="false" ht="15" hidden="false" customHeight="false" outlineLevel="0" collapsed="false">
      <c r="A15" s="26" t="n">
        <f aca="false">EDATE(Settings!$B$6,11)</f>
        <v>46357</v>
      </c>
      <c r="B15" s="16" t="n">
        <f aca="false">SUMIFS('Payments Log'!$E$2:$E$1001,'Payments Log'!$A$2:$A$1001,"&gt;="&amp;A15,'Payments Log'!$A$2:$A$1001,"&lt;"&amp;EDATE(A15,1))</f>
        <v>0</v>
      </c>
      <c r="C15" s="16" t="n">
        <f aca="false">SUMIFS('Costs Log'!$F$2:$F$1001,'Costs Log'!$A$2:$A$1001,"&gt;="&amp;A15,'Costs Log'!$A$2:$A$1001,"&lt;"&amp;EDATE(A15,1))</f>
        <v>0</v>
      </c>
      <c r="D15" s="23" t="n">
        <f aca="false">Settings!$B$4</f>
        <v>1500</v>
      </c>
      <c r="E15" s="16" t="n">
        <f aca="false">B15-C15-D15</f>
        <v>-1500</v>
      </c>
      <c r="F15" s="16" t="n">
        <f aca="false">F14+E15</f>
        <v>22550</v>
      </c>
      <c r="G15" s="24" t="str">
        <f aca="false">IF(F15&lt;0,"CASH SHORTFALL",IF(F15&lt;Settings!$B$4,"Below 1 month overhead",""))</f>
        <v/>
      </c>
    </row>
    <row r="16" customFormat="false" ht="15" hidden="false" customHeight="false" outlineLevel="0" collapsed="false">
      <c r="A16" s="4" t="s">
        <v>103</v>
      </c>
      <c r="B16" s="27" t="n">
        <f aca="false">SUM(B4:B15)</f>
        <v>70850</v>
      </c>
      <c r="C16" s="27" t="n">
        <f aca="false">SUM(C4:C15)</f>
        <v>45300</v>
      </c>
      <c r="D16" s="27" t="n">
        <f aca="false">SUM(D4:D15)</f>
        <v>18000</v>
      </c>
      <c r="E16" s="27" t="n">
        <f aca="false">SUM(E4:E15)</f>
        <v>7550</v>
      </c>
    </row>
    <row r="18" customFormat="false" ht="15" hidden="false" customHeight="false" outlineLevel="0" collapsed="false">
      <c r="A18" s="28" t="s">
        <v>111</v>
      </c>
    </row>
  </sheetData>
  <sheetProtection sheet="true" formatCells="false" formatColumns="false" formatRows="false" sort="false" autoFilter="false"/>
  <conditionalFormatting sqref="F4:F15">
    <cfRule type="cellIs" priority="2" operator="lessThan" aboveAverage="0" equalAverage="0" bottom="0" percent="0" rank="0" text="" dxfId="0">
      <formula>0</formula>
    </cfRule>
  </conditionalFormatting>
  <conditionalFormatting sqref="G4:G15">
    <cfRule type="cellIs" priority="3" operator="equal" aboveAverage="0" equalAverage="0" bottom="0" percent="0" rank="0" text="" dxfId="0">
      <formula>"CASH SHORTFALL"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2026-10-30T17:28:40Z</dcterms:created>
  <dc:creator>openpyxl</dc:creator>
  <dc:description/>
  <dc:language>en-US</dc:language>
  <cp:lastModifiedBy/>
  <dcterms:modified xsi:type="dcterms:W3CDTF">2026-10-30T17:28:40Z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