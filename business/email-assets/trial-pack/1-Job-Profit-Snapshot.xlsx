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Profit Snapsho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<sst xmlns="http://schemas.openxmlformats.org/spreadsheetml/2006/main" count="43" uniqueCount="40">
  <si>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Job Profit Snapshot</t>
  </si>
  <si>
    <t xml:space="preserve">Was this job worth it? Fill in the Bid column before you quote, and the Actual column when the job closes.</t>
  </si>
  <si>
    <t xml:space="preserve">Bid (estimate)</t>
  </si>
  <si>
    <t xml:space="preserve">Actual (job closed)</t>
  </si>
  <si>
    <t xml:space="preserve">Difference</t>
  </si>
  <si>
    <t xml:space="preserve">Notes</t>
  </si>
  <si>
    <t xml:space="preserve">Job price charged to customer ($)</t>
  </si>
  <si>
    <t xml:space="preserve">Include approved change orders in Actual.</t>
  </si>
  <si>
    <t xml:space="preserve">Labor hours</t>
  </si>
  <si>
    <t xml:space="preserve">All crew hours on the job, including drive time.</t>
  </si>
  <si>
    <t xml:space="preserve">Loaded labor rate ($/hour)</t>
  </si>
  <si>
    <t xml:space="preserve">Wage + payroll taxes + workers' comp. Example value, use your own.</t>
  </si>
  <si>
    <t xml:space="preserve">Materials &amp; parts ($)</t>
  </si>
  <si>
    <t xml:space="preserve">Subcontractors ($)</t>
  </si>
  <si>
    <t xml:space="preserve">Equipment, rentals, permits, other ($)</t>
  </si>
  <si>
    <t xml:space="preserve">Overhead as % of revenue</t>
  </si>
  <si>
    <t xml:space="preserve">Rent, insurance, trucks, phone, office ÷ yearly revenue. Example value, set your own.</t>
  </si>
  <si>
    <t xml:space="preserve">Target net margin</t>
  </si>
  <si>
    <t xml:space="preserve">The profit you want left after overhead. Example value.</t>
  </si>
  <si>
    <t xml:space="preserve">Results</t>
  </si>
  <si>
    <t xml:space="preserve">What it means</t>
  </si>
  <si>
    <t xml:space="preserve">Labor cost ($)</t>
  </si>
  <si>
    <t xml:space="preserve">Hours × loaded rate.</t>
  </si>
  <si>
    <t xml:space="preserve">Direct job cost ($)</t>
  </si>
  <si>
    <t xml:space="preserve">Labor + materials + subs + other.</t>
  </si>
  <si>
    <t xml:space="preserve">Gross profit ($)</t>
  </si>
  <si>
    <t xml:space="preserve">Before overhead.</t>
  </si>
  <si>
    <t xml:space="preserve">Gross margin</t>
  </si>
  <si>
    <t xml:space="preserve">Overhead share ($)</t>
  </si>
  <si>
    <t xml:space="preserve">This job's fair share of running the business.</t>
  </si>
  <si>
    <t xml:space="preserve">Net profit ($)</t>
  </si>
  <si>
    <t xml:space="preserve">What the job really earned.</t>
  </si>
  <si>
    <t xml:space="preserve">Net margin</t>
  </si>
  <si>
    <t xml:space="preserve">Red if below your target.</t>
  </si>
  <si>
    <t xml:space="preserve">Break-even price ($)</t>
  </si>
  <si>
    <t xml:space="preserve">Charge less than this and the job loses money.</t>
  </si>
  <si>
    <t xml:space="preserve">Price needed for target margin ($)</t>
  </si>
  <si>
    <t xml:space="preserve">Quote at least this next time.</t>
  </si>
  <si>
    <t xml:space="preserve">Verdict</t>
  </si>
  <si>
    <t xml:space="preserve">TradeSheets free trial pack · Blue text = your inputs · Black = formulas (don't overwrite) · Full custom setup: reply to the email you got this from.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</si>
</sst>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"/>
    <numFmt numFmtId="167" formatCode="\$#,##0.00;&quot;($&quot;#,##0.00\);\-"/>
    <numFmt numFmtId="168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23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234"/>
        <bgColor rgb="FF00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3DC"/>
      </left>
      <right style="thin">
        <color rgb="FFC8D3DC"/>
      </right>
      <top style="thin">
        <color rgb="FFC8D3DC"/>
      </top>
      <bottom style="thin">
        <color rgb="FFC8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8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223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A5" s="4" t="s">
        <v>6</v>
      </c>
      <c r="B5" s="5" t="n">
        <v>6800</v>
      </c>
      <c r="C5" s="5" t="n">
        <v>6800</v>
      </c>
      <c r="D5" s="6" t="n">
        <f aca="false">C5-B5</f>
        <v>0</v>
      </c>
      <c r="E5" s="7" t="s">
        <v>7</v>
      </c>
    </row>
    <row r="6" customFormat="false" ht="15" hidden="false" customHeight="false" outlineLevel="0" collapsed="false">
      <c r="A6" s="4" t="s">
        <v>8</v>
      </c>
      <c r="B6" s="8" t="n">
        <v>40</v>
      </c>
      <c r="C6" s="8" t="n">
        <v>46</v>
      </c>
      <c r="D6" s="9" t="n">
        <f aca="false">C6-B6</f>
        <v>6</v>
      </c>
      <c r="E6" s="7" t="s">
        <v>9</v>
      </c>
    </row>
    <row r="7" customFormat="false" ht="15" hidden="false" customHeight="false" outlineLevel="0" collapsed="false">
      <c r="A7" s="4" t="s">
        <v>10</v>
      </c>
      <c r="B7" s="10" t="n">
        <v>42</v>
      </c>
      <c r="C7" s="10" t="n">
        <v>42</v>
      </c>
      <c r="D7" s="11" t="n">
        <f aca="false">C7-B7</f>
        <v>0</v>
      </c>
      <c r="E7" s="7" t="s">
        <v>11</v>
      </c>
    </row>
    <row r="8" customFormat="false" ht="15" hidden="false" customHeight="false" outlineLevel="0" collapsed="false">
      <c r="A8" s="4" t="s">
        <v>12</v>
      </c>
      <c r="B8" s="5" t="n">
        <v>2300</v>
      </c>
      <c r="C8" s="5" t="n">
        <v>2510</v>
      </c>
      <c r="D8" s="6" t="n">
        <f aca="false">C8-B8</f>
        <v>210</v>
      </c>
      <c r="E8" s="7"/>
    </row>
    <row r="9" customFormat="false" ht="15" hidden="false" customHeight="false" outlineLevel="0" collapsed="false">
      <c r="A9" s="4" t="s">
        <v>13</v>
      </c>
      <c r="B9" s="5" t="n">
        <v>0</v>
      </c>
      <c r="C9" s="5" t="n">
        <v>0</v>
      </c>
      <c r="D9" s="6" t="n">
        <f aca="false">C9-B9</f>
        <v>0</v>
      </c>
      <c r="E9" s="7"/>
    </row>
    <row r="10" customFormat="false" ht="15" hidden="false" customHeight="false" outlineLevel="0" collapsed="false">
      <c r="A10" s="4" t="s">
        <v>14</v>
      </c>
      <c r="B10" s="5" t="n">
        <v>350</v>
      </c>
      <c r="C10" s="5" t="n">
        <v>420</v>
      </c>
      <c r="D10" s="6" t="n">
        <f aca="false">C10-B10</f>
        <v>70</v>
      </c>
      <c r="E10" s="7"/>
    </row>
    <row r="12" customFormat="false" ht="15" hidden="false" customHeight="false" outlineLevel="0" collapsed="false">
      <c r="A12" s="12" t="s">
        <v>15</v>
      </c>
      <c r="B12" s="13" t="n">
        <v>0.15</v>
      </c>
      <c r="E12" s="7" t="s">
        <v>16</v>
      </c>
    </row>
    <row r="13" customFormat="false" ht="15" hidden="false" customHeight="false" outlineLevel="0" collapsed="false">
      <c r="A13" s="12" t="s">
        <v>17</v>
      </c>
      <c r="B13" s="13" t="n">
        <v>0.15</v>
      </c>
      <c r="E13" s="7" t="s">
        <v>18</v>
      </c>
    </row>
    <row r="15" customFormat="false" ht="30" hidden="false" customHeight="true" outlineLevel="0" collapsed="false">
      <c r="A15" s="3" t="s">
        <v>19</v>
      </c>
      <c r="B15" s="3" t="s">
        <v>2</v>
      </c>
      <c r="C15" s="3" t="s">
        <v>3</v>
      </c>
      <c r="D15" s="3" t="s">
        <v>4</v>
      </c>
      <c r="E15" s="3" t="s">
        <v>20</v>
      </c>
    </row>
    <row r="16" customFormat="false" ht="15" hidden="false" customHeight="false" outlineLevel="0" collapsed="false">
      <c r="A16" s="4" t="s">
        <v>21</v>
      </c>
      <c r="B16" s="6" t="n">
        <f aca="false">B6*B7</f>
        <v>1680</v>
      </c>
      <c r="C16" s="6" t="n">
        <f aca="false">C6*C7</f>
        <v>1932</v>
      </c>
      <c r="D16" s="6" t="n">
        <f aca="false">IF(OR(B16="",C16=""),"",C16-B16)</f>
        <v>252</v>
      </c>
      <c r="E16" s="7" t="s">
        <v>22</v>
      </c>
    </row>
    <row r="17" customFormat="false" ht="15" hidden="false" customHeight="false" outlineLevel="0" collapsed="false">
      <c r="A17" s="4" t="s">
        <v>23</v>
      </c>
      <c r="B17" s="6" t="n">
        <f aca="false">B16+SUM(B8:B10)</f>
        <v>4330</v>
      </c>
      <c r="C17" s="6" t="n">
        <f aca="false">C16+SUM(C8:C10)</f>
        <v>4862</v>
      </c>
      <c r="D17" s="6" t="n">
        <f aca="false">IF(OR(B17="",C17=""),"",C17-B17)</f>
        <v>532</v>
      </c>
      <c r="E17" s="7" t="s">
        <v>24</v>
      </c>
    </row>
    <row r="18" customFormat="false" ht="15" hidden="false" customHeight="false" outlineLevel="0" collapsed="false">
      <c r="A18" s="4" t="s">
        <v>25</v>
      </c>
      <c r="B18" s="6" t="n">
        <f aca="false">B5-B17</f>
        <v>2470</v>
      </c>
      <c r="C18" s="6" t="n">
        <f aca="false">C5-C17</f>
        <v>1938</v>
      </c>
      <c r="D18" s="6" t="n">
        <f aca="false">IF(OR(B18="",C18=""),"",C18-B18)</f>
        <v>-532</v>
      </c>
      <c r="E18" s="7" t="s">
        <v>26</v>
      </c>
    </row>
    <row r="19" customFormat="false" ht="15" hidden="false" customHeight="false" outlineLevel="0" collapsed="false">
      <c r="A19" s="4" t="s">
        <v>27</v>
      </c>
      <c r="B19" s="14" t="n">
        <f aca="false">IF(B5=0,"",B18/B5)</f>
        <v>0.363235294117647</v>
      </c>
      <c r="C19" s="14" t="n">
        <f aca="false">IF(C5=0,"",C18/C5)</f>
        <v>0.285</v>
      </c>
      <c r="D19" s="14" t="n">
        <f aca="false">IF(OR(B19="",C19=""),"",C19-B19)</f>
        <v>-0.0782352941176471</v>
      </c>
      <c r="E19" s="7"/>
    </row>
    <row r="20" customFormat="false" ht="15" hidden="false" customHeight="false" outlineLevel="0" collapsed="false">
      <c r="A20" s="4" t="s">
        <v>28</v>
      </c>
      <c r="B20" s="6" t="n">
        <f aca="false">B5*$B$12</f>
        <v>1020</v>
      </c>
      <c r="C20" s="6" t="n">
        <f aca="false">C5*$B$12</f>
        <v>1020</v>
      </c>
      <c r="D20" s="6" t="n">
        <f aca="false">IF(OR(B20="",C20=""),"",C20-B20)</f>
        <v>0</v>
      </c>
      <c r="E20" s="7" t="s">
        <v>29</v>
      </c>
    </row>
    <row r="21" customFormat="false" ht="15" hidden="false" customHeight="false" outlineLevel="0" collapsed="false">
      <c r="A21" s="12" t="s">
        <v>30</v>
      </c>
      <c r="B21" s="6" t="n">
        <f aca="false">B18-B20</f>
        <v>1450</v>
      </c>
      <c r="C21" s="6" t="n">
        <f aca="false">C18-C20</f>
        <v>918</v>
      </c>
      <c r="D21" s="6" t="n">
        <f aca="false">IF(OR(B21="",C21=""),"",C21-B21)</f>
        <v>-532</v>
      </c>
      <c r="E21" s="7" t="s">
        <v>31</v>
      </c>
    </row>
    <row r="22" customFormat="false" ht="15" hidden="false" customHeight="false" outlineLevel="0" collapsed="false">
      <c r="A22" s="12" t="s">
        <v>32</v>
      </c>
      <c r="B22" s="14" t="n">
        <f aca="false">IF(B5=0,"",B21/B5)</f>
        <v>0.213235294117647</v>
      </c>
      <c r="C22" s="14" t="n">
        <f aca="false">IF(C5=0,"",C21/C5)</f>
        <v>0.135</v>
      </c>
      <c r="D22" s="14" t="n">
        <f aca="false">IF(OR(B22="",C22=""),"",C22-B22)</f>
        <v>-0.078235294117647</v>
      </c>
      <c r="E22" s="7" t="s">
        <v>33</v>
      </c>
    </row>
    <row r="23" customFormat="false" ht="15" hidden="false" customHeight="false" outlineLevel="0" collapsed="false">
      <c r="A23" s="4" t="s">
        <v>34</v>
      </c>
      <c r="B23" s="6" t="n">
        <f aca="false">IF($B$12&gt;=1,"",B17/(1-$B$12))</f>
        <v>5094.11764705882</v>
      </c>
      <c r="C23" s="6" t="n">
        <f aca="false">IF($B$12&gt;=1,"",C17/(1-$B$12))</f>
        <v>5720</v>
      </c>
      <c r="D23" s="6" t="n">
        <f aca="false">IF(OR(B23="",C23=""),"",C23-B23)</f>
        <v>625.882352941177</v>
      </c>
      <c r="E23" s="7" t="s">
        <v>35</v>
      </c>
    </row>
    <row r="24" customFormat="false" ht="15" hidden="false" customHeight="false" outlineLevel="0" collapsed="false">
      <c r="A24" s="4" t="s">
        <v>36</v>
      </c>
      <c r="B24" s="6" t="n">
        <f aca="false">IF($B$12+$B$13&gt;=1,"",B17/(1-$B$12-$B$13))</f>
        <v>6185.71428571429</v>
      </c>
      <c r="C24" s="6" t="n">
        <f aca="false">IF($B$12+$B$13&gt;=1,"",C17/(1-$B$12-$B$13))</f>
        <v>6945.71428571429</v>
      </c>
      <c r="D24" s="6" t="n">
        <f aca="false">IF(OR(B24="",C24=""),"",C24-B24)</f>
        <v>760</v>
      </c>
      <c r="E24" s="7" t="s">
        <v>37</v>
      </c>
    </row>
    <row r="26" customFormat="false" ht="15" hidden="false" customHeight="false" outlineLevel="0" collapsed="false">
      <c r="A26" s="15" t="s">
        <v>38</v>
      </c>
      <c r="B26" s="15" t="str">
        <f aca="false">IF(C21&lt;0,"This job LOST money. Check labor hours first.",IF(C22&lt;$B$13,"Profitable, but below your target margin.","Good job: at or above your target margin."))</f>
        <v>Profitable, but below your target margin.</v>
      </c>
    </row>
    <row r="28" customFormat="false" ht="15" hidden="false" customHeight="false" outlineLevel="0" collapsed="false">
      <c r="A28" s="2" t="s">
        <v>39</v>
      </c>
    </row>
  </sheetData>
  <conditionalFormatting sqref="B22">
    <cfRule type="expression" priority="2" aboveAverage="0" equalAverage="0" bottom="0" percent="0" rank="0" text="" dxfId="0">
      <formula>AND(B22&lt;&gt;"",B22&lt;$B$13)</formula>
    </cfRule>
    <cfRule type="expression" priority="3" aboveAverage="0" equalAverage="0" bottom="0" percent="0" rank="0" text="" dxfId="1">
      <formula>AND(B22&lt;&gt;"",B22&gt;=$B$13)</formula>
    </cfRule>
  </conditionalFormatting>
  <conditionalFormatting sqref="C22">
    <cfRule type="expression" priority="4" aboveAverage="0" equalAverage="0" bottom="0" percent="0" rank="0" text="" dxfId="0">
      <formula>AND(C22&lt;&gt;"",C22&lt;$B$13)</formula>
    </cfRule>
    <cfRule type="expression" priority="5" aboveAverage="0" equalAverage="0" bottom="0" percent="0" rank="0" text="" dxfId="1">
      <formula>AND(C22&lt;&gt;"",C22&gt;=$B$13)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2026-10-30T17:11:13Z</dcterms:created>
  <dc:creator>openpyxl</dc:creator>
  <dc:description/>
  <dc:language>en-US</dc:language>
  <cp:lastModifiedBy/>
  <dcterms:modified xsi:type="dcterms:W3CDTF">2026-10-30T17:11:13Z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