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90-Day Cash Flow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<sst xmlns="http://schemas.openxmlformats.org/spreadsheetml/2006/main" count="20" uniqueCount="20">
  <si>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90-Day Cash Flow Forecaster</t>
  </si>
  <si>
    <t xml:space="preserve">13 weeks of money in and money out. Red = the week your bank balance goes negative.</t>
  </si>
  <si>
    <t xml:space="preserve">Starting bank balance ($)</t>
  </si>
  <si>
    <t xml:space="preserve">Example numbers are filled in (week 4 has a $3,200 truck repair). Replace the blue cells with your own.</t>
  </si>
  <si>
    <t xml:space="preserve">First week starts on</t>
  </si>
  <si>
    <t xml:space="preserve">Warn me below ($)</t>
  </si>
  <si>
    <t xml:space="preserve">Week</t>
  </si>
  <si>
    <t xml:space="preserve">Week of</t>
  </si>
  <si>
    <t xml:space="preserve">Customer payments in ($)</t>
  </si>
  <si>
    <t xml:space="preserve">Other in ($)</t>
  </si>
  <si>
    <t xml:space="preserve">Total in ($)</t>
  </si>
  <si>
    <t xml:space="preserve">Payroll out ($)</t>
  </si>
  <si>
    <t xml:space="preserve">Materials &amp; suppliers ($)</t>
  </si>
  <si>
    <t xml:space="preserve">Overhead out ($)</t>
  </si>
  <si>
    <t xml:space="preserve">Other out ($)</t>
  </si>
  <si>
    <t xml:space="preserve">Ending balance ($)</t>
  </si>
  <si>
    <t xml:space="preserve">Status</t>
  </si>
  <si>
    <t xml:space="preserve">13-week totals</t>
  </si>
  <si>
    <t xml:space="preserve">Lowest balance</t>
  </si>
  <si>
    <t xml:space="preserve">TradeSheets free trial pack · Blue text = your inputs · Black = locked formulas (Review &gt; Unprotect Sheet to change) · Full custom setup: reply to the email you got this from.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</si>
</sst>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yyyy\-mm\-dd"/>
    <numFmt numFmtId="167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2234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B2234"/>
        <bgColor rgb="FF003300"/>
      </patternFill>
    </fill>
    <fill>
      <patternFill patternType="solid">
        <fgColor rgb="FFFFF2C2"/>
        <bgColor rgb="FFFFF3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D3DC"/>
      </left>
      <right style="thin">
        <color rgb="FFC8D3DC"/>
      </right>
      <top style="thin">
        <color rgb="FFC8D3DC"/>
      </top>
      <bottom style="thin">
        <color rgb="FFC8D3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>
          <bgColor rgb="FFD4ED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C8D3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2C2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B223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5" min="4" style="0" width="13"/>
    <col collapsed="false" customWidth="true" hidden="false" outlineLevel="0" max="7" min="6" style="0" width="15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2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  <c r="D4" s="4" t="n">
        <v>4000</v>
      </c>
      <c r="F4" s="5" t="s">
        <v>3</v>
      </c>
    </row>
    <row r="5" customFormat="false" ht="15" hidden="false" customHeight="false" outlineLevel="0" collapsed="false">
      <c r="A5" s="3" t="s">
        <v>4</v>
      </c>
      <c r="B5" s="3"/>
      <c r="C5" s="3"/>
      <c r="D5" s="6" t="n">
        <v>46328</v>
      </c>
    </row>
    <row r="6" customFormat="false" ht="15" hidden="false" customHeight="false" outlineLevel="0" collapsed="false">
      <c r="A6" s="3" t="s">
        <v>5</v>
      </c>
      <c r="B6" s="3"/>
      <c r="C6" s="3"/>
      <c r="D6" s="4" t="n">
        <v>3000</v>
      </c>
    </row>
    <row r="8" customFormat="false" ht="30" hidden="false" customHeight="true" outlineLevel="0" collapsed="false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  <c r="G8" s="7" t="s">
        <v>12</v>
      </c>
      <c r="H8" s="7" t="s">
        <v>13</v>
      </c>
      <c r="I8" s="7" t="s">
        <v>14</v>
      </c>
      <c r="J8" s="7" t="s">
        <v>15</v>
      </c>
      <c r="K8" s="7" t="s">
        <v>16</v>
      </c>
    </row>
    <row r="9" customFormat="false" ht="15" hidden="false" customHeight="false" outlineLevel="0" collapsed="false">
      <c r="A9" s="8" t="n">
        <v>1</v>
      </c>
      <c r="B9" s="9" t="n">
        <f aca="false">$D$5+7*(A9-1)</f>
        <v>46328</v>
      </c>
      <c r="C9" s="10" t="n">
        <v>6500</v>
      </c>
      <c r="D9" s="10" t="n">
        <v>0</v>
      </c>
      <c r="E9" s="11" t="n">
        <f aca="false">C9+D9</f>
        <v>6500</v>
      </c>
      <c r="F9" s="10" t="n">
        <v>4200</v>
      </c>
      <c r="G9" s="10" t="n">
        <v>2600</v>
      </c>
      <c r="H9" s="10" t="n">
        <v>0</v>
      </c>
      <c r="I9" s="10" t="n">
        <v>0</v>
      </c>
      <c r="J9" s="12" t="n">
        <f aca="false">$D$4+E9-SUM(F9:I9)</f>
        <v>3700</v>
      </c>
      <c r="K9" s="3" t="str">
        <f aca="false">IF(J9&lt;0,"CASH SHORTFALL",IF(J9&lt;$D$6,"Low: plan ahead","OK"))</f>
        <v>OK</v>
      </c>
    </row>
    <row r="10" customFormat="false" ht="15" hidden="false" customHeight="false" outlineLevel="0" collapsed="false">
      <c r="A10" s="8" t="n">
        <v>2</v>
      </c>
      <c r="B10" s="9" t="n">
        <f aca="false">$D$5+7*(A10-1)</f>
        <v>46335</v>
      </c>
      <c r="C10" s="10" t="n">
        <v>800</v>
      </c>
      <c r="D10" s="10" t="n">
        <v>0</v>
      </c>
      <c r="E10" s="11" t="n">
        <f aca="false">C10+D10</f>
        <v>800</v>
      </c>
      <c r="F10" s="10" t="n">
        <v>0</v>
      </c>
      <c r="G10" s="10" t="n">
        <v>1800</v>
      </c>
      <c r="H10" s="10" t="n">
        <v>0</v>
      </c>
      <c r="I10" s="10" t="n">
        <v>0</v>
      </c>
      <c r="J10" s="12" t="n">
        <f aca="false">J9+E10-SUM(F10:I10)</f>
        <v>2700</v>
      </c>
      <c r="K10" s="3" t="str">
        <f aca="false">IF(J10&lt;0,"CASH SHORTFALL",IF(J10&lt;$D$6,"Low: plan ahead","OK"))</f>
        <v>Low: plan ahead</v>
      </c>
    </row>
    <row r="11" customFormat="false" ht="15" hidden="false" customHeight="false" outlineLevel="0" collapsed="false">
      <c r="A11" s="8" t="n">
        <v>3</v>
      </c>
      <c r="B11" s="9" t="n">
        <f aca="false">$D$5+7*(A11-1)</f>
        <v>46342</v>
      </c>
      <c r="C11" s="10" t="n">
        <v>8100</v>
      </c>
      <c r="D11" s="10" t="n">
        <v>0</v>
      </c>
      <c r="E11" s="11" t="n">
        <f aca="false">C11+D11</f>
        <v>8100</v>
      </c>
      <c r="F11" s="10" t="n">
        <v>4200</v>
      </c>
      <c r="G11" s="10" t="n">
        <v>3100</v>
      </c>
      <c r="H11" s="10" t="n">
        <v>0</v>
      </c>
      <c r="I11" s="10" t="n">
        <v>0</v>
      </c>
      <c r="J11" s="12" t="n">
        <f aca="false">J10+E11-SUM(F11:I11)</f>
        <v>3500</v>
      </c>
      <c r="K11" s="3" t="str">
        <f aca="false">IF(J11&lt;0,"CASH SHORTFALL",IF(J11&lt;$D$6,"Low: plan ahead","OK"))</f>
        <v>OK</v>
      </c>
    </row>
    <row r="12" customFormat="false" ht="15" hidden="false" customHeight="false" outlineLevel="0" collapsed="false">
      <c r="A12" s="8" t="n">
        <v>4</v>
      </c>
      <c r="B12" s="9" t="n">
        <f aca="false">$D$5+7*(A12-1)</f>
        <v>46349</v>
      </c>
      <c r="C12" s="10" t="n">
        <v>2400</v>
      </c>
      <c r="D12" s="10" t="n">
        <v>0</v>
      </c>
      <c r="E12" s="11" t="n">
        <f aca="false">C12+D12</f>
        <v>2400</v>
      </c>
      <c r="F12" s="10" t="n">
        <v>0</v>
      </c>
      <c r="G12" s="10" t="n">
        <v>1500</v>
      </c>
      <c r="H12" s="10" t="n">
        <v>1900</v>
      </c>
      <c r="I12" s="10" t="n">
        <v>3200</v>
      </c>
      <c r="J12" s="12" t="n">
        <f aca="false">J11+E12-SUM(F12:I12)</f>
        <v>-700</v>
      </c>
      <c r="K12" s="3" t="str">
        <f aca="false">IF(J12&lt;0,"CASH SHORTFALL",IF(J12&lt;$D$6,"Low: plan ahead","OK"))</f>
        <v>CASH SHORTFALL</v>
      </c>
    </row>
    <row r="13" customFormat="false" ht="15" hidden="false" customHeight="false" outlineLevel="0" collapsed="false">
      <c r="A13" s="8" t="n">
        <v>5</v>
      </c>
      <c r="B13" s="9" t="n">
        <f aca="false">$D$5+7*(A13-1)</f>
        <v>46356</v>
      </c>
      <c r="C13" s="10" t="n">
        <v>7200</v>
      </c>
      <c r="D13" s="10" t="n">
        <v>0</v>
      </c>
      <c r="E13" s="11" t="n">
        <f aca="false">C13+D13</f>
        <v>7200</v>
      </c>
      <c r="F13" s="10" t="n">
        <v>4400</v>
      </c>
      <c r="G13" s="10" t="n">
        <v>2900</v>
      </c>
      <c r="H13" s="10" t="n">
        <v>0</v>
      </c>
      <c r="I13" s="10" t="n">
        <v>0</v>
      </c>
      <c r="J13" s="12" t="n">
        <f aca="false">J12+E13-SUM(F13:I13)</f>
        <v>-800</v>
      </c>
      <c r="K13" s="3" t="str">
        <f aca="false">IF(J13&lt;0,"CASH SHORTFALL",IF(J13&lt;$D$6,"Low: plan ahead","OK"))</f>
        <v>CASH SHORTFALL</v>
      </c>
    </row>
    <row r="14" customFormat="false" ht="15" hidden="false" customHeight="false" outlineLevel="0" collapsed="false">
      <c r="A14" s="8" t="n">
        <v>6</v>
      </c>
      <c r="B14" s="9" t="n">
        <f aca="false">$D$5+7*(A14-1)</f>
        <v>46363</v>
      </c>
      <c r="C14" s="10" t="n">
        <v>1800</v>
      </c>
      <c r="D14" s="10" t="n">
        <v>0</v>
      </c>
      <c r="E14" s="11" t="n">
        <f aca="false">C14+D14</f>
        <v>1800</v>
      </c>
      <c r="F14" s="10" t="n">
        <v>0</v>
      </c>
      <c r="G14" s="10" t="n">
        <v>1200</v>
      </c>
      <c r="H14" s="10" t="n">
        <v>0</v>
      </c>
      <c r="I14" s="10" t="n">
        <v>0</v>
      </c>
      <c r="J14" s="12" t="n">
        <f aca="false">J13+E14-SUM(F14:I14)</f>
        <v>-200</v>
      </c>
      <c r="K14" s="3" t="str">
        <f aca="false">IF(J14&lt;0,"CASH SHORTFALL",IF(J14&lt;$D$6,"Low: plan ahead","OK"))</f>
        <v>CASH SHORTFALL</v>
      </c>
    </row>
    <row r="15" customFormat="false" ht="15" hidden="false" customHeight="false" outlineLevel="0" collapsed="false">
      <c r="A15" s="8" t="n">
        <v>7</v>
      </c>
      <c r="B15" s="9" t="n">
        <f aca="false">$D$5+7*(A15-1)</f>
        <v>46370</v>
      </c>
      <c r="C15" s="10" t="n">
        <v>9400</v>
      </c>
      <c r="D15" s="10" t="n">
        <v>0</v>
      </c>
      <c r="E15" s="11" t="n">
        <f aca="false">C15+D15</f>
        <v>9400</v>
      </c>
      <c r="F15" s="10" t="n">
        <v>4400</v>
      </c>
      <c r="G15" s="10" t="n">
        <v>3600</v>
      </c>
      <c r="H15" s="10" t="n">
        <v>0</v>
      </c>
      <c r="I15" s="10" t="n">
        <v>0</v>
      </c>
      <c r="J15" s="12" t="n">
        <f aca="false">J14+E15-SUM(F15:I15)</f>
        <v>1200</v>
      </c>
      <c r="K15" s="3" t="str">
        <f aca="false">IF(J15&lt;0,"CASH SHORTFALL",IF(J15&lt;$D$6,"Low: plan ahead","OK"))</f>
        <v>Low: plan ahead</v>
      </c>
    </row>
    <row r="16" customFormat="false" ht="15" hidden="false" customHeight="false" outlineLevel="0" collapsed="false">
      <c r="A16" s="8" t="n">
        <v>8</v>
      </c>
      <c r="B16" s="9" t="n">
        <f aca="false">$D$5+7*(A16-1)</f>
        <v>46377</v>
      </c>
      <c r="C16" s="10" t="n">
        <v>3000</v>
      </c>
      <c r="D16" s="10" t="n">
        <v>0</v>
      </c>
      <c r="E16" s="11" t="n">
        <f aca="false">C16+D16</f>
        <v>3000</v>
      </c>
      <c r="F16" s="10" t="n">
        <v>0</v>
      </c>
      <c r="G16" s="10" t="n">
        <v>1400</v>
      </c>
      <c r="H16" s="10" t="n">
        <v>1900</v>
      </c>
      <c r="I16" s="10" t="n">
        <v>0</v>
      </c>
      <c r="J16" s="12" t="n">
        <f aca="false">J15+E16-SUM(F16:I16)</f>
        <v>900</v>
      </c>
      <c r="K16" s="3" t="str">
        <f aca="false">IF(J16&lt;0,"CASH SHORTFALL",IF(J16&lt;$D$6,"Low: plan ahead","OK"))</f>
        <v>Low: plan ahead</v>
      </c>
    </row>
    <row r="17" customFormat="false" ht="15" hidden="false" customHeight="false" outlineLevel="0" collapsed="false">
      <c r="A17" s="8" t="n">
        <v>9</v>
      </c>
      <c r="B17" s="9" t="n">
        <f aca="false">$D$5+7*(A17-1)</f>
        <v>46384</v>
      </c>
      <c r="C17" s="10" t="n">
        <v>6100</v>
      </c>
      <c r="D17" s="10" t="n">
        <v>0</v>
      </c>
      <c r="E17" s="11" t="n">
        <f aca="false">C17+D17</f>
        <v>6100</v>
      </c>
      <c r="F17" s="10" t="n">
        <v>4400</v>
      </c>
      <c r="G17" s="10" t="n">
        <v>2400</v>
      </c>
      <c r="H17" s="10" t="n">
        <v>0</v>
      </c>
      <c r="I17" s="10" t="n">
        <v>0</v>
      </c>
      <c r="J17" s="12" t="n">
        <f aca="false">J16+E17-SUM(F17:I17)</f>
        <v>200</v>
      </c>
      <c r="K17" s="3" t="str">
        <f aca="false">IF(J17&lt;0,"CASH SHORTFALL",IF(J17&lt;$D$6,"Low: plan ahead","OK"))</f>
        <v>Low: plan ahead</v>
      </c>
    </row>
    <row r="18" customFormat="false" ht="15" hidden="false" customHeight="false" outlineLevel="0" collapsed="false">
      <c r="A18" s="8" t="n">
        <v>10</v>
      </c>
      <c r="B18" s="9" t="n">
        <f aca="false">$D$5+7*(A18-1)</f>
        <v>46391</v>
      </c>
      <c r="C18" s="10" t="n">
        <v>2800</v>
      </c>
      <c r="D18" s="10" t="n">
        <v>0</v>
      </c>
      <c r="E18" s="11" t="n">
        <f aca="false">C18+D18</f>
        <v>2800</v>
      </c>
      <c r="F18" s="10" t="n">
        <v>0</v>
      </c>
      <c r="G18" s="10" t="n">
        <v>1700</v>
      </c>
      <c r="H18" s="10" t="n">
        <v>0</v>
      </c>
      <c r="I18" s="10" t="n">
        <v>0</v>
      </c>
      <c r="J18" s="12" t="n">
        <f aca="false">J17+E18-SUM(F18:I18)</f>
        <v>1300</v>
      </c>
      <c r="K18" s="3" t="str">
        <f aca="false">IF(J18&lt;0,"CASH SHORTFALL",IF(J18&lt;$D$6,"Low: plan ahead","OK"))</f>
        <v>Low: plan ahead</v>
      </c>
    </row>
    <row r="19" customFormat="false" ht="15" hidden="false" customHeight="false" outlineLevel="0" collapsed="false">
      <c r="A19" s="8" t="n">
        <v>11</v>
      </c>
      <c r="B19" s="9" t="n">
        <f aca="false">$D$5+7*(A19-1)</f>
        <v>46398</v>
      </c>
      <c r="C19" s="10" t="n">
        <v>8800</v>
      </c>
      <c r="D19" s="10" t="n">
        <v>0</v>
      </c>
      <c r="E19" s="11" t="n">
        <f aca="false">C19+D19</f>
        <v>8800</v>
      </c>
      <c r="F19" s="10" t="n">
        <v>4600</v>
      </c>
      <c r="G19" s="10" t="n">
        <v>3300</v>
      </c>
      <c r="H19" s="10" t="n">
        <v>0</v>
      </c>
      <c r="I19" s="10" t="n">
        <v>0</v>
      </c>
      <c r="J19" s="12" t="n">
        <f aca="false">J18+E19-SUM(F19:I19)</f>
        <v>2200</v>
      </c>
      <c r="K19" s="3" t="str">
        <f aca="false">IF(J19&lt;0,"CASH SHORTFALL",IF(J19&lt;$D$6,"Low: plan ahead","OK"))</f>
        <v>Low: plan ahead</v>
      </c>
    </row>
    <row r="20" customFormat="false" ht="15" hidden="false" customHeight="false" outlineLevel="0" collapsed="false">
      <c r="A20" s="8" t="n">
        <v>12</v>
      </c>
      <c r="B20" s="9" t="n">
        <f aca="false">$D$5+7*(A20-1)</f>
        <v>46405</v>
      </c>
      <c r="C20" s="10" t="n">
        <v>2500</v>
      </c>
      <c r="D20" s="10" t="n">
        <v>0</v>
      </c>
      <c r="E20" s="11" t="n">
        <f aca="false">C20+D20</f>
        <v>2500</v>
      </c>
      <c r="F20" s="10" t="n">
        <v>0</v>
      </c>
      <c r="G20" s="10" t="n">
        <v>1500</v>
      </c>
      <c r="H20" s="10" t="n">
        <v>1900</v>
      </c>
      <c r="I20" s="10" t="n">
        <v>0</v>
      </c>
      <c r="J20" s="12" t="n">
        <f aca="false">J19+E20-SUM(F20:I20)</f>
        <v>1300</v>
      </c>
      <c r="K20" s="3" t="str">
        <f aca="false">IF(J20&lt;0,"CASH SHORTFALL",IF(J20&lt;$D$6,"Low: plan ahead","OK"))</f>
        <v>Low: plan ahead</v>
      </c>
    </row>
    <row r="21" customFormat="false" ht="15" hidden="false" customHeight="false" outlineLevel="0" collapsed="false">
      <c r="A21" s="8" t="n">
        <v>13</v>
      </c>
      <c r="B21" s="9" t="n">
        <f aca="false">$D$5+7*(A21-1)</f>
        <v>46412</v>
      </c>
      <c r="C21" s="10" t="n">
        <v>7000</v>
      </c>
      <c r="D21" s="10" t="n">
        <v>0</v>
      </c>
      <c r="E21" s="11" t="n">
        <f aca="false">C21+D21</f>
        <v>7000</v>
      </c>
      <c r="F21" s="10" t="n">
        <v>4600</v>
      </c>
      <c r="G21" s="10" t="n">
        <v>2800</v>
      </c>
      <c r="H21" s="10" t="n">
        <v>0</v>
      </c>
      <c r="I21" s="10" t="n">
        <v>0</v>
      </c>
      <c r="J21" s="12" t="n">
        <f aca="false">J20+E21-SUM(F21:I21)</f>
        <v>900</v>
      </c>
      <c r="K21" s="3" t="str">
        <f aca="false">IF(J21&lt;0,"CASH SHORTFALL",IF(J21&lt;$D$6,"Low: plan ahead","OK"))</f>
        <v>Low: plan ahead</v>
      </c>
    </row>
    <row r="23" customFormat="false" ht="15" hidden="false" customHeight="false" outlineLevel="0" collapsed="false">
      <c r="A23" s="3" t="s">
        <v>17</v>
      </c>
      <c r="B23" s="3"/>
      <c r="C23" s="12" t="n">
        <f aca="false">SUM(C9:C21)</f>
        <v>66400</v>
      </c>
      <c r="D23" s="12" t="n">
        <f aca="false">SUM(D9:D21)</f>
        <v>0</v>
      </c>
      <c r="E23" s="12" t="n">
        <f aca="false">SUM(E9:E21)</f>
        <v>66400</v>
      </c>
      <c r="F23" s="12" t="n">
        <f aca="false">SUM(F9:F21)</f>
        <v>30800</v>
      </c>
      <c r="G23" s="12" t="n">
        <f aca="false">SUM(G9:G21)</f>
        <v>29800</v>
      </c>
      <c r="H23" s="12" t="n">
        <f aca="false">SUM(H9:H21)</f>
        <v>5700</v>
      </c>
      <c r="I23" s="12" t="n">
        <f aca="false">SUM(I9:I21)</f>
        <v>3200</v>
      </c>
    </row>
    <row r="25" customFormat="false" ht="15" hidden="false" customHeight="false" outlineLevel="0" collapsed="false">
      <c r="A25" s="3" t="s">
        <v>18</v>
      </c>
      <c r="B25" s="3"/>
      <c r="C25" s="13" t="n">
        <f aca="false">MIN(J9:J21)</f>
        <v>-800</v>
      </c>
      <c r="D25" s="3" t="str">
        <f aca="false">IF(C25&lt;0,"Week "&amp;INDEX(A9:A21,MATCH(C25,J9:J21,0))&amp;": get a deposit in or move a supplier payment.","")</f>
        <v>Week 5: get a deposit in or move a supplier payment.</v>
      </c>
    </row>
    <row r="27" customFormat="false" ht="15" hidden="false" customHeight="false" outlineLevel="0" collapsed="false">
      <c r="A27" s="2" t="s">
        <v>19</v>
      </c>
    </row>
  </sheetData>
  <sheetProtection sheet="true" formatCells="false" formatColumns="false" formatRows="false" sort="false" autoFilter="false"/>
  <mergeCells count="5">
    <mergeCell ref="A4:C4"/>
    <mergeCell ref="A5:C5"/>
    <mergeCell ref="A6:C6"/>
    <mergeCell ref="A23:B23"/>
    <mergeCell ref="A25:B25"/>
  </mergeCells>
  <conditionalFormatting sqref="J9:J21">
    <cfRule type="cellIs" priority="2" operator="lessThan" aboveAverage="0" equalAverage="0" bottom="0" percent="0" rank="0" text="" dxfId="0">
      <formula>0</formula>
    </cfRule>
  </conditionalFormatting>
  <conditionalFormatting sqref="K9:K21">
    <cfRule type="cellIs" priority="3" operator="equal" aboveAverage="0" equalAverage="0" bottom="0" percent="0" rank="0" text="" dxfId="0">
      <formula>"CASH SHORTFALL"</formula>
    </cfRule>
    <cfRule type="cellIs" priority="4" operator="equal" aboveAverage="0" equalAverage="0" bottom="0" percent="0" rank="0" text="" dxfId="1">
      <formula>"Low: plan ahead"</formula>
    </cfRule>
    <cfRule type="cellIs" priority="5" operator="equal" aboveAverage="0" equalAverage="0" bottom="0" percent="0" rank="0" text="" dxfId="2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2026-10-30T17:28:41Z</dcterms:created>
  <dc:creator>openpyxl</dc:creator>
  <dc:description/>
  <dc:language>en-US</dc:language>
  <cp:lastModifiedBy/>
  <dcterms:modified xsi:type="dcterms:W3CDTF">2026-10-30T17:28:41Z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